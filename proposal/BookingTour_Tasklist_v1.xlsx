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" sheetId="1" state="visible" r:id="rId1"/>
    <sheet xmlns:r="http://schemas.openxmlformats.org/officeDocument/2006/relationships" name="2. Đối chiếu tài liệu" sheetId="2" state="visible" r:id="rId2"/>
    <sheet xmlns:r="http://schemas.openxmlformats.org/officeDocument/2006/relationships" name="3. Ma trận" sheetId="3" state="visible" r:id="rId3"/>
    <sheet xmlns:r="http://schemas.openxmlformats.org/officeDocument/2006/relationships" name="4. FRS" sheetId="4" state="visible" r:id="rId4"/>
    <sheet xmlns:r="http://schemas.openxmlformats.org/officeDocument/2006/relationships" name="5. Tasklist" sheetId="5" state="visible" r:id="rId5"/>
    <sheet xmlns:r="http://schemas.openxmlformats.org/officeDocument/2006/relationships" name="6. Lộ trình chi tiết" sheetId="6" state="visible" r:id="rId6"/>
    <sheet xmlns:r="http://schemas.openxmlformats.org/officeDocument/2006/relationships" name="7. Tích hợp bên thứ 3" sheetId="7" state="visible" r:id="rId7"/>
    <sheet xmlns:r="http://schemas.openxmlformats.org/officeDocument/2006/relationships" name="8. Chuẩn bị &amp; phụ thuộc" sheetId="8" state="visible" r:id="rId8"/>
    <sheet xmlns:r="http://schemas.openxmlformats.org/officeDocument/2006/relationships" name="9. Gantt" sheetId="9" state="visible" r:id="rId9"/>
    <sheet xmlns:r="http://schemas.openxmlformats.org/officeDocument/2006/relationships" name="10. Chi phí" sheetId="10" state="visible" r:id="rId10"/>
    <sheet xmlns:r="http://schemas.openxmlformats.org/officeDocument/2006/relationships" name="11. Rủi ro" sheetId="11" state="visible" r:id="rId11"/>
    <sheet xmlns:r="http://schemas.openxmlformats.org/officeDocument/2006/relationships" name="12. Nghiệm thu" sheetId="12" state="visible" r:id="rId12"/>
    <sheet xmlns:r="http://schemas.openxmlformats.org/officeDocument/2006/relationships" name="13. Quyết định &amp; câu hỏi" sheetId="13" state="visible" r:id="rId13"/>
    <sheet xmlns:r="http://schemas.openxmlformats.org/officeDocument/2006/relationships" name="14. Nhật ký thay đổi" sheetId="14" state="visible" r:id="rId14"/>
  </sheets>
  <definedNames>
    <definedName name="_xlnm._FilterDatabase" localSheetId="1" hidden="1">'2. Đối chiếu tài liệu'!$A$3:$I$49</definedName>
    <definedName name="_xlnm._FilterDatabase" localSheetId="3" hidden="1">'4. FRS'!$A$3:$O$77</definedName>
    <definedName name="_xlnm._FilterDatabase" localSheetId="4" hidden="1">'5. Tasklist'!$A$3:$S$197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B6B45"/>
      <sz val="16"/>
    </font>
    <font>
      <b val="1"/>
    </font>
    <font>
      <i val="1"/>
      <color rgb="0077838F"/>
      <sz val="9"/>
    </font>
    <font>
      <b val="1"/>
      <color rgb="001B6B45"/>
      <sz val="14"/>
    </font>
    <font>
      <i val="1"/>
      <color rgb="004A5763"/>
    </font>
    <font>
      <b val="1"/>
      <color rgb="00FFFFFF"/>
    </font>
    <font/>
    <font>
      <b val="1"/>
      <color rgb="001B6B45"/>
      <sz val="12"/>
    </font>
    <font>
      <i val="1"/>
    </font>
  </fonts>
  <fills count="9">
    <fill>
      <patternFill/>
    </fill>
    <fill>
      <patternFill patternType="gray125"/>
    </fill>
    <fill>
      <patternFill patternType="solid">
        <fgColor rgb="001B6B45"/>
      </patternFill>
    </fill>
    <fill>
      <patternFill patternType="solid">
        <fgColor rgb="00EEF5F1"/>
      </patternFill>
    </fill>
    <fill>
      <patternFill patternType="solid">
        <fgColor rgb="00DCEBE3"/>
      </patternFill>
    </fill>
    <fill>
      <patternFill patternType="solid">
        <fgColor rgb="00F7F9FA"/>
      </patternFill>
    </fill>
    <fill>
      <patternFill patternType="solid">
        <fgColor rgb="00FFF6CC"/>
      </patternFill>
    </fill>
    <fill>
      <patternFill patternType="solid">
        <fgColor rgb="007A8794"/>
      </patternFill>
    </fill>
    <fill>
      <patternFill patternType="solid">
        <fgColor rgb="00C58A00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2" borderId="1" applyAlignment="1" pivotButton="0" quotePrefix="0" xfId="0">
      <alignment wrapText="1"/>
    </xf>
    <xf numFmtId="0" fontId="0" fillId="6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B1" s="1" t="inlineStr">
        <is>
          <t>BOOKING TOUR — POC MENTOR — KẾ HOẠCH TRIỂN KHAI VÀ POC MẪU CỦA TEAM MENTOR</t>
        </is>
      </c>
    </row>
    <row r="2">
      <c r="B2" t="inlineStr">
        <is>
          <t>Web trước — Next.js + API Spring Boot · Bản v1 · 23/09/2026 · TVT GROUP</t>
        </is>
      </c>
    </row>
    <row r="5">
      <c r="A5" s="2" t="inlineStr">
        <is>
          <t>Dự án</t>
        </is>
      </c>
      <c r="B5" s="3" t="inlineStr">
        <is>
          <t>Nền tảng đặt tour du lịch: website khách, cổng quản trị cho Tour Manager / Hướng dẫn viên / Admin, API Spring Boot</t>
        </is>
      </c>
    </row>
    <row r="6">
      <c r="A6" s="2" t="inlineStr">
        <is>
          <t>Nguồn chuẩn</t>
        </is>
      </c>
      <c r="B6" s="3" t="inlineStr">
        <is>
          <t>SRS v1.1, Database Design v1.1, Architecture v1.0, API Documentation v1.0 (Team A)</t>
        </is>
      </c>
    </row>
    <row r="7">
      <c r="A7" s="2" t="inlineStr">
        <is>
          <t>Hướng kênh</t>
        </is>
      </c>
      <c r="B7" s="3" t="inlineStr">
        <is>
          <t>Web trước: website khách + cổng quản trị bằng Next.js App Router, API Spring Boot; không có app mobile</t>
        </is>
      </c>
    </row>
    <row r="8">
      <c r="A8" s="2" t="inlineStr">
        <is>
          <t>Chia việc</t>
        </is>
      </c>
      <c r="B8" s="3" t="inlineStr">
        <is>
          <t>Team mentor TVT làm trọn gói POC (PM, BE, FE, QC); intern tự làm bản của mình để so sánh</t>
        </is>
      </c>
    </row>
    <row r="9">
      <c r="A9" s="2" t="inlineStr">
        <is>
          <t>Phần bắt buộc</t>
        </is>
      </c>
      <c r="B9" s="3" t="inlineStr">
        <is>
          <t>Luồng chính đầu–cuối chạy thật trên Docker: tìm → đặt (chống trùng chỗ) → thanh toán giả lập → vận hành → đánh giá</t>
        </is>
      </c>
    </row>
    <row r="10">
      <c r="A10" s="2" t="inlineStr">
        <is>
          <t>Phạm vi</t>
        </is>
      </c>
      <c r="B10" s="3" t="inlineStr">
        <is>
          <t>Mức 1 (6 tuần) · Mức 2 (8 tuần) · Mức 3 (10+ tuần)</t>
        </is>
      </c>
    </row>
    <row r="11">
      <c r="A11" s="2" t="inlineStr">
        <is>
          <t>Cấu trúc file</t>
        </is>
      </c>
      <c r="B11" s="3" t="inlineStr">
        <is>
          <t>Giai đoạn › Nhóm nghiệp vụ › Nhóm tính năng › Chức năng › Task</t>
        </is>
      </c>
    </row>
    <row r="12">
      <c r="A12" s="2" t="inlineStr">
        <is>
          <t>Nhóm tham gia</t>
        </is>
      </c>
      <c r="B12" s="3" t="inlineStr">
        <is>
          <t>PM · BA · Design · FE · BE · AI · DevOps · QC · Tech Lead</t>
        </is>
      </c>
    </row>
    <row r="13">
      <c r="A13" s="2" t="inlineStr">
        <is>
          <t>Chú giải màu</t>
        </is>
      </c>
      <c r="B13" s="3" t="inlineStr">
        <is>
          <t>Xanh đậm: dòng tiêu đề · Xanh nhạt: dòng gom nhóm · Vàng: ô nhập tay</t>
        </is>
      </c>
    </row>
    <row r="14">
      <c r="A14" s="2" t="inlineStr">
        <is>
          <t>Tài liệu</t>
        </is>
      </c>
      <c r="B14" s="3" t="inlineStr">
        <is>
          <t>Nội bộ TVT GROUP — không phải báo giá</t>
        </is>
      </c>
    </row>
    <row r="16">
      <c r="A16" s="2" t="inlineStr">
        <is>
          <t>Danh sách sheet</t>
        </is>
      </c>
    </row>
    <row r="17">
      <c r="A17" t="inlineStr">
        <is>
          <t>2. Đối chiếu tài liệu</t>
        </is>
      </c>
      <c r="B17" t="inlineStr">
        <is>
          <t>Từng chức năng trong tài liệu gốc nằm ở gói nào</t>
        </is>
      </c>
    </row>
    <row r="18">
      <c r="A18" t="inlineStr">
        <is>
          <t>3. Ma trận</t>
        </is>
      </c>
      <c r="B18" t="inlineStr">
        <is>
          <t>Nhóm nghiệp vụ nào làm ở giai đoạn nào</t>
        </is>
      </c>
    </row>
    <row r="19">
      <c r="A19" t="inlineStr">
        <is>
          <t>4. FRS</t>
        </is>
      </c>
      <c r="B19" t="inlineStr">
        <is>
          <t>Đặc tả chức năng: luồng, ngoại lệ, quy tắc, tiêu chí nghiệm thu</t>
        </is>
      </c>
    </row>
    <row r="20">
      <c r="A20" t="inlineStr">
        <is>
          <t>5. Tasklist</t>
        </is>
      </c>
      <c r="B20" t="inlineStr">
        <is>
          <t>Danh sách task để giao việc, có khối lượng và phụ thuộc</t>
        </is>
      </c>
    </row>
    <row r="21">
      <c r="A21" t="inlineStr">
        <is>
          <t>6. Lộ trình chi tiết</t>
        </is>
      </c>
      <c r="B21" t="inlineStr">
        <is>
          <t>Từng giai đoạn gồm đầu mục gì, đầu ra là gì</t>
        </is>
      </c>
    </row>
    <row r="22">
      <c r="A22" t="inlineStr">
        <is>
          <t>7. Tích hợp bên thứ 3</t>
        </is>
      </c>
      <c r="B22" t="inlineStr">
        <is>
          <t>Nhà cung cấp, thủ tục, ai chủ trì, khi nào cần xong</t>
        </is>
      </c>
    </row>
    <row r="23">
      <c r="A23" t="inlineStr">
        <is>
          <t>8. Chuẩn bị &amp; phụ thuộc</t>
        </is>
      </c>
      <c r="B23" t="inlineStr">
        <is>
          <t>Tài khoản, hợp đồng, dữ liệu, thiết bị cần có trước</t>
        </is>
      </c>
    </row>
    <row r="24">
      <c r="A24" t="inlineStr">
        <is>
          <t>9. Gantt</t>
        </is>
      </c>
      <c r="B24" t="inlineStr">
        <is>
          <t>Lịch 12 tuần theo giai đoạn</t>
        </is>
      </c>
    </row>
    <row r="25">
      <c r="A25" t="inlineStr">
        <is>
          <t>10. Chi phí</t>
        </is>
      </c>
      <c r="B25" t="inlineStr">
        <is>
          <t>Khối lượng và chi phí nội bộ theo vai trò</t>
        </is>
      </c>
    </row>
    <row r="26">
      <c r="A26" t="inlineStr">
        <is>
          <t>11. Rủi ro</t>
        </is>
      </c>
      <c r="B26" t="inlineStr">
        <is>
          <t>Rủi ro và cách giảm thiểu</t>
        </is>
      </c>
    </row>
    <row r="27">
      <c r="A27" t="inlineStr">
        <is>
          <t>12. Nghiệm thu</t>
        </is>
      </c>
      <c r="B27" t="inlineStr">
        <is>
          <t>Tiêu chí nghiệm thu và kịch bản kiểm thử</t>
        </is>
      </c>
    </row>
    <row r="28">
      <c r="A28" t="inlineStr">
        <is>
          <t>13. Quyết định &amp; câu hỏi</t>
        </is>
      </c>
      <c r="B28" t="inlineStr">
        <is>
          <t>Điều đã chốt và điều còn chờ khách</t>
        </is>
      </c>
    </row>
    <row r="29">
      <c r="A29" t="inlineStr">
        <is>
          <t>14. Nhật ký thay đổi</t>
        </is>
      </c>
      <c r="B29" t="inlineStr">
        <is>
          <t>Khác biệt so với bản trước</t>
        </is>
      </c>
    </row>
    <row r="31">
      <c r="A31" s="4" t="inlineStr">
        <is>
          <t>© 2026 TVT GROUP · Tài liệu nội bộ · 23/09/2026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4" customWidth="1" min="4" max="4"/>
    <col width="54" customWidth="1" min="5" max="5"/>
    <col width="9" customWidth="1" min="6" max="6"/>
    <col width="24" customWidth="1" min="7" max="7"/>
    <col width="8" customWidth="1" min="8" max="8"/>
    <col width="30" customWidth="1" min="9" max="9"/>
  </cols>
  <sheetData>
    <row r="1">
      <c r="A1" s="5" t="inlineStr">
        <is>
          <t>Đối chiếu với tài liệu phân tích</t>
        </is>
      </c>
    </row>
    <row r="2">
      <c r="A2" s="6" t="inlineStr">
        <is>
          <t>Mỗi dòng là một chức năng; mã BS-xx là phần TVT đề xuất thêm</t>
        </is>
      </c>
    </row>
    <row r="3">
      <c r="A3" s="7" t="inlineStr">
        <is>
          <t>Mã</t>
        </is>
      </c>
      <c r="B3" s="7" t="inlineStr">
        <is>
          <t>Mục tài liệu</t>
        </is>
      </c>
      <c r="C3" s="7" t="inlineStr">
        <is>
          <t>Nhóm nghiệp vụ</t>
        </is>
      </c>
      <c r="D3" s="7" t="inlineStr">
        <is>
          <t>Nhóm tính năng</t>
        </is>
      </c>
      <c r="E3" s="7" t="inlineStr">
        <is>
          <t>Tên chức năng</t>
        </is>
      </c>
      <c r="F3" s="7" t="inlineStr">
        <is>
          <t>Bắt buộc</t>
        </is>
      </c>
      <c r="G3" s="7" t="inlineStr">
        <is>
          <t>Giai đoạn</t>
        </is>
      </c>
      <c r="H3" s="7" t="inlineStr">
        <is>
          <t>Sprint</t>
        </is>
      </c>
      <c r="I3" s="7" t="inlineStr">
        <is>
          <t>Ghi chú</t>
        </is>
      </c>
    </row>
    <row r="4">
      <c r="A4" s="8" t="inlineStr">
        <is>
          <t>DIS-01</t>
        </is>
      </c>
      <c r="B4" s="8" t="inlineStr">
        <is>
          <t>Kế hoạch 2 ngày, Handover T1</t>
        </is>
      </c>
      <c r="C4" s="8" t="inlineStr">
        <is>
          <t>QUẢN LÝ</t>
        </is>
      </c>
      <c r="D4" s="8" t="inlineStr">
        <is>
          <t>Tài liệu</t>
        </is>
      </c>
      <c r="E4" s="8" t="inlineStr">
        <is>
          <t>Rà soát và chốt baseline 5 tài liệu của intern, lập danh sách gap</t>
        </is>
      </c>
      <c r="F4" s="8" t="inlineStr"/>
      <c r="G4" s="8" t="inlineStr">
        <is>
          <t>0 · Tài liệu và chốt phạm vi</t>
        </is>
      </c>
      <c r="H4" s="8" t="inlineStr"/>
      <c r="I4" s="8" t="inlineStr"/>
    </row>
    <row r="5">
      <c r="A5" s="8" t="inlineStr">
        <is>
          <t>DIS-02</t>
        </is>
      </c>
      <c r="B5" s="8" t="inlineStr">
        <is>
          <t>Handover T1 §4</t>
        </is>
      </c>
      <c r="C5" s="8" t="inlineStr">
        <is>
          <t>QUẢN LÝ</t>
        </is>
      </c>
      <c r="D5" s="8" t="inlineStr">
        <is>
          <t>Quy trình</t>
        </is>
      </c>
      <c r="E5" s="8" t="inlineStr">
        <is>
          <t>Convention, cấu trúc repo, branch flow, checklist review, DoD</t>
        </is>
      </c>
      <c r="F5" s="8" t="inlineStr"/>
      <c r="G5" s="8" t="inlineStr">
        <is>
          <t>1 · UX/UI và nền tảng kỹ thuật</t>
        </is>
      </c>
      <c r="H5" s="8" t="inlineStr"/>
      <c r="I5" s="8" t="inlineStr"/>
    </row>
    <row r="6">
      <c r="A6" s="8" t="inlineStr">
        <is>
          <t>SYS-01</t>
        </is>
      </c>
      <c r="B6" s="8" t="inlineStr">
        <is>
          <t>Arch 1.5, BE structure</t>
        </is>
      </c>
      <c r="C6" s="8" t="inlineStr">
        <is>
          <t>NỀN</t>
        </is>
      </c>
      <c r="D6" s="8" t="inlineStr">
        <is>
          <t>Nền tảng</t>
        </is>
      </c>
      <c r="E6" s="8" t="inlineStr">
        <is>
          <t>Khởi tạo dự án backend, frontend, Docker Compose và migration Flyway đầu tiên</t>
        </is>
      </c>
      <c r="F6" s="8" t="inlineStr">
        <is>
          <t>★</t>
        </is>
      </c>
      <c r="G6" s="8" t="inlineStr">
        <is>
          <t>1 · UX/UI và nền tảng kỹ thuật</t>
        </is>
      </c>
      <c r="H6" s="8" t="inlineStr"/>
      <c r="I6" s="8" t="inlineStr"/>
    </row>
    <row r="7">
      <c r="A7" s="8" t="inlineStr">
        <is>
          <t>SYS-02</t>
        </is>
      </c>
      <c r="B7" s="8" t="inlineStr">
        <is>
          <t>API doc §2–3, §6, §8</t>
        </is>
      </c>
      <c r="C7" s="8" t="inlineStr">
        <is>
          <t>NỀN</t>
        </is>
      </c>
      <c r="D7" s="8" t="inlineStr">
        <is>
          <t>Nền tảng</t>
        </is>
      </c>
      <c r="E7" s="8" t="inlineStr">
        <is>
          <t>Khung API chuẩn: ApiResponse, mã lỗi, validation, requestId, Swagger</t>
        </is>
      </c>
      <c r="F7" s="8" t="inlineStr">
        <is>
          <t>★</t>
        </is>
      </c>
      <c r="G7" s="8" t="inlineStr">
        <is>
          <t>1 · UX/UI và nền tảng kỹ thuật</t>
        </is>
      </c>
      <c r="H7" s="8" t="inlineStr"/>
      <c r="I7" s="8" t="inlineStr"/>
    </row>
    <row r="8">
      <c r="A8" s="8" t="inlineStr">
        <is>
          <t>SYS-03</t>
        </is>
      </c>
      <c r="B8" s="8" t="inlineStr">
        <is>
          <t>SRS 9.10, DB 4.16</t>
        </is>
      </c>
      <c r="C8" s="8" t="inlineStr">
        <is>
          <t>NỀN</t>
        </is>
      </c>
      <c r="D8" s="8" t="inlineStr">
        <is>
          <t>Vận hành</t>
        </is>
      </c>
      <c r="E8" s="8" t="inlineStr">
        <is>
          <t>Nhật ký kiểm toán (audit log) và nhật ký bảo mật</t>
        </is>
      </c>
      <c r="F8" s="8" t="inlineStr"/>
      <c r="G8" s="8" t="inlineStr">
        <is>
          <t>2 · Phát triển</t>
        </is>
      </c>
      <c r="H8" s="8" t="inlineStr">
        <is>
          <t>S3</t>
        </is>
      </c>
      <c r="I8" s="8" t="inlineStr"/>
    </row>
    <row r="9">
      <c r="A9" s="8" t="inlineStr">
        <is>
          <t>SYS-04</t>
        </is>
      </c>
      <c r="B9" s="8" t="inlineStr">
        <is>
          <t>FE structure §Testing</t>
        </is>
      </c>
      <c r="C9" s="8" t="inlineStr">
        <is>
          <t>NỀN</t>
        </is>
      </c>
      <c r="D9" s="8" t="inlineStr">
        <is>
          <t>Chất lượng</t>
        </is>
      </c>
      <c r="E9" s="8" t="inlineStr">
        <is>
          <t>CI: build, test tự động ba tầng (JUnit + Testcontainers, Vitest, Playwright)</t>
        </is>
      </c>
      <c r="F9" s="8" t="inlineStr"/>
      <c r="G9" s="8" t="inlineStr">
        <is>
          <t>2 · Phát triển</t>
        </is>
      </c>
      <c r="H9" s="8" t="inlineStr">
        <is>
          <t>S1</t>
        </is>
      </c>
      <c r="I9" s="8" t="inlineStr"/>
    </row>
    <row r="10">
      <c r="A10" s="8" t="inlineStr">
        <is>
          <t>SYS-05</t>
        </is>
      </c>
      <c r="B10" s="8" t="inlineStr">
        <is>
          <t>SRS 7.6, 8.4</t>
        </is>
      </c>
      <c r="C10" s="8" t="inlineStr">
        <is>
          <t>NỀN</t>
        </is>
      </c>
      <c r="D10" s="8" t="inlineStr">
        <is>
          <t>Vận hành</t>
        </is>
      </c>
      <c r="E10" s="8" t="inlineStr">
        <is>
          <t>Sao lưu và phục hồi dữ liệu</t>
        </is>
      </c>
      <c r="F10" s="8" t="inlineStr"/>
      <c r="G10" s="8" t="inlineStr">
        <is>
          <t>3 · Kiểm thử và demo</t>
        </is>
      </c>
      <c r="H10" s="8" t="inlineStr"/>
      <c r="I10" s="8" t="inlineStr"/>
    </row>
    <row r="11">
      <c r="A11" s="8" t="inlineStr">
        <is>
          <t>SYS-06</t>
        </is>
      </c>
      <c r="B11" s="8" t="inlineStr">
        <is>
          <t>BE structure (R2)</t>
        </is>
      </c>
      <c r="C11" s="8" t="inlineStr">
        <is>
          <t>NỀN</t>
        </is>
      </c>
      <c r="D11" s="8" t="inlineStr">
        <is>
          <t>Nền tảng</t>
        </is>
      </c>
      <c r="E11" s="8" t="inlineStr">
        <is>
          <t>Lưu ảnh qua adapter: cục bộ mặc định, Cloudflare R2 khi có khoá</t>
        </is>
      </c>
      <c r="F11" s="8" t="inlineStr"/>
      <c r="G11" s="8" t="inlineStr">
        <is>
          <t>2 · Phát triển</t>
        </is>
      </c>
      <c r="H11" s="8" t="inlineStr">
        <is>
          <t>S2</t>
        </is>
      </c>
      <c r="I11" s="8" t="inlineStr"/>
    </row>
    <row r="12">
      <c r="A12" s="8" t="inlineStr">
        <is>
          <t>ACC-01</t>
        </is>
      </c>
      <c r="B12" s="8" t="inlineStr">
        <is>
          <t>SRS UC-AUTH-01, API 4.12</t>
        </is>
      </c>
      <c r="C12" s="8" t="inlineStr">
        <is>
          <t>ACC</t>
        </is>
      </c>
      <c r="D12" s="8" t="inlineStr">
        <is>
          <t>Xác thực</t>
        </is>
      </c>
      <c r="E12" s="8" t="inlineStr">
        <is>
          <t>Đăng ký tài khoản khách hàng</t>
        </is>
      </c>
      <c r="F12" s="8" t="inlineStr">
        <is>
          <t>★</t>
        </is>
      </c>
      <c r="G12" s="8" t="inlineStr">
        <is>
          <t>2 · Phát triển</t>
        </is>
      </c>
      <c r="H12" s="8" t="inlineStr">
        <is>
          <t>S1</t>
        </is>
      </c>
      <c r="I12" s="8" t="inlineStr"/>
    </row>
    <row r="13">
      <c r="A13" s="8" t="inlineStr">
        <is>
          <t>ACC-02</t>
        </is>
      </c>
      <c r="B13" s="8" t="inlineStr">
        <is>
          <t>SRS UC-AUTH-02, API §2</t>
        </is>
      </c>
      <c r="C13" s="8" t="inlineStr">
        <is>
          <t>ACC</t>
        </is>
      </c>
      <c r="D13" s="8" t="inlineStr">
        <is>
          <t>Xác thực</t>
        </is>
      </c>
      <c r="E13" s="8" t="inlineStr">
        <is>
          <t>Đăng nhập JWT, refresh token xoay vòng, đăng xuất</t>
        </is>
      </c>
      <c r="F13" s="8" t="inlineStr">
        <is>
          <t>★</t>
        </is>
      </c>
      <c r="G13" s="8" t="inlineStr">
        <is>
          <t>2 · Phát triển</t>
        </is>
      </c>
      <c r="H13" s="8" t="inlineStr">
        <is>
          <t>S1</t>
        </is>
      </c>
      <c r="I13" s="8" t="inlineStr"/>
    </row>
    <row r="14">
      <c r="A14" s="8" t="inlineStr">
        <is>
          <t>ACC-03</t>
        </is>
      </c>
      <c r="B14" s="8" t="inlineStr">
        <is>
          <t>API 4.12 users/me</t>
        </is>
      </c>
      <c r="C14" s="8" t="inlineStr">
        <is>
          <t>ACC</t>
        </is>
      </c>
      <c r="D14" s="8" t="inlineStr">
        <is>
          <t>Hồ sơ</t>
        </is>
      </c>
      <c r="E14" s="8" t="inlineStr">
        <is>
          <t>Hồ sơ cá nhân: xem, sửa, đổi mật khẩu</t>
        </is>
      </c>
      <c r="F14" s="8" t="inlineStr"/>
      <c r="G14" s="8" t="inlineStr">
        <is>
          <t>2 · Phát triển</t>
        </is>
      </c>
      <c r="H14" s="8" t="inlineStr">
        <is>
          <t>S2</t>
        </is>
      </c>
      <c r="I14" s="8" t="inlineStr"/>
    </row>
    <row r="15">
      <c r="A15" s="8" t="inlineStr">
        <is>
          <t>ACC-04</t>
        </is>
      </c>
      <c r="B15" s="8" t="inlineStr">
        <is>
          <t>BS (SRS thiếu)</t>
        </is>
      </c>
      <c r="C15" s="8" t="inlineStr">
        <is>
          <t>ACC</t>
        </is>
      </c>
      <c r="D15" s="8" t="inlineStr">
        <is>
          <t>Xác thực</t>
        </is>
      </c>
      <c r="E15" s="8" t="inlineStr">
        <is>
          <t>Quên mật khẩu qua email</t>
        </is>
      </c>
      <c r="F15" s="8" t="inlineStr"/>
      <c r="G15" s="8" t="inlineStr">
        <is>
          <t>2 · Phát triển</t>
        </is>
      </c>
      <c r="H15" s="8" t="inlineStr">
        <is>
          <t>S3</t>
        </is>
      </c>
      <c r="I15" s="8" t="inlineStr">
        <is>
          <t>Mentor đề xuất thêm</t>
        </is>
      </c>
    </row>
    <row r="16">
      <c r="A16" s="8" t="inlineStr">
        <is>
          <t>ACC-05</t>
        </is>
      </c>
      <c r="B16" s="8" t="inlineStr">
        <is>
          <t>SRS 9.1, 3.2.3, 8.3</t>
        </is>
      </c>
      <c r="C16" s="8" t="inlineStr">
        <is>
          <t>ACC</t>
        </is>
      </c>
      <c r="D16" s="8" t="inlineStr">
        <is>
          <t>Phân quyền</t>
        </is>
      </c>
      <c r="E16" s="8" t="inlineStr">
        <is>
          <t>Phân quyền theo vai trò: Customer, Tour Guide, Tour Manager, Admin — chặn ở API và URL</t>
        </is>
      </c>
      <c r="F16" s="8" t="inlineStr">
        <is>
          <t>★</t>
        </is>
      </c>
      <c r="G16" s="8" t="inlineStr">
        <is>
          <t>2 · Phát triển</t>
        </is>
      </c>
      <c r="H16" s="8" t="inlineStr">
        <is>
          <t>S1</t>
        </is>
      </c>
      <c r="I16" s="8" t="inlineStr"/>
    </row>
    <row r="17">
      <c r="A17" s="8" t="inlineStr">
        <is>
          <t>CAT-01</t>
        </is>
      </c>
      <c r="B17" s="8" t="inlineStr">
        <is>
          <t>API 4.9, DB 4.6</t>
        </is>
      </c>
      <c r="C17" s="8" t="inlineStr">
        <is>
          <t>CAT</t>
        </is>
      </c>
      <c r="D17" s="8" t="inlineStr">
        <is>
          <t>Danh mục</t>
        </is>
      </c>
      <c r="E17" s="8" t="inlineStr">
        <is>
          <t>Danh mục tour: tạo, sửa, xoá</t>
        </is>
      </c>
      <c r="F17" s="8" t="inlineStr"/>
      <c r="G17" s="8" t="inlineStr">
        <is>
          <t>2 · Phát triển</t>
        </is>
      </c>
      <c r="H17" s="8" t="inlineStr">
        <is>
          <t>S1</t>
        </is>
      </c>
      <c r="I17" s="8" t="inlineStr"/>
    </row>
    <row r="18">
      <c r="A18" s="8" t="inlineStr">
        <is>
          <t>CAT-02</t>
        </is>
      </c>
      <c r="B18" s="8" t="inlineStr">
        <is>
          <t>API 4.10, DB 4.8</t>
        </is>
      </c>
      <c r="C18" s="8" t="inlineStr">
        <is>
          <t>CAT</t>
        </is>
      </c>
      <c r="D18" s="8" t="inlineStr">
        <is>
          <t>Danh mục</t>
        </is>
      </c>
      <c r="E18" s="8" t="inlineStr">
        <is>
          <t>Địa điểm: tạo, sửa, xoá</t>
        </is>
      </c>
      <c r="F18" s="8" t="inlineStr"/>
      <c r="G18" s="8" t="inlineStr">
        <is>
          <t>2 · Phát triển</t>
        </is>
      </c>
      <c r="H18" s="8" t="inlineStr">
        <is>
          <t>S1</t>
        </is>
      </c>
      <c r="I18" s="8" t="inlineStr"/>
    </row>
    <row r="19">
      <c r="A19" s="8" t="inlineStr">
        <is>
          <t>CAT-03</t>
        </is>
      </c>
      <c r="B19" s="8" t="inlineStr">
        <is>
          <t>SRS UC-TM-01..03, 9.2; API 4.7</t>
        </is>
      </c>
      <c r="C19" s="8" t="inlineStr">
        <is>
          <t>CAT</t>
        </is>
      </c>
      <c r="D19" s="8" t="inlineStr">
        <is>
          <t>Tour</t>
        </is>
      </c>
      <c r="E19" s="8" t="inlineStr">
        <is>
          <t>Tour: tạo, sửa, ẩn, xoá mềm; mã tour duy nhất; không xoá khi đã có booking</t>
        </is>
      </c>
      <c r="F19" s="8" t="inlineStr">
        <is>
          <t>★</t>
        </is>
      </c>
      <c r="G19" s="8" t="inlineStr">
        <is>
          <t>2 · Phát triển</t>
        </is>
      </c>
      <c r="H19" s="8" t="inlineStr">
        <is>
          <t>S1</t>
        </is>
      </c>
      <c r="I19" s="8" t="inlineStr"/>
    </row>
    <row r="20">
      <c r="A20" s="8" t="inlineStr">
        <is>
          <t>CAT-04</t>
        </is>
      </c>
      <c r="B20" s="8" t="inlineStr">
        <is>
          <t>API 4.11, DB 4.9</t>
        </is>
      </c>
      <c r="C20" s="8" t="inlineStr">
        <is>
          <t>CAT</t>
        </is>
      </c>
      <c r="D20" s="8" t="inlineStr">
        <is>
          <t>Tour</t>
        </is>
      </c>
      <c r="E20" s="8" t="inlineStr">
        <is>
          <t>Lịch trình tour: các địa điểm theo thứ tự</t>
        </is>
      </c>
      <c r="F20" s="8" t="inlineStr"/>
      <c r="G20" s="8" t="inlineStr">
        <is>
          <t>2 · Phát triển</t>
        </is>
      </c>
      <c r="H20" s="8" t="inlineStr">
        <is>
          <t>S1</t>
        </is>
      </c>
      <c r="I20" s="8" t="inlineStr"/>
    </row>
    <row r="21">
      <c r="A21" s="8" t="inlineStr">
        <is>
          <t>CAT-05</t>
        </is>
      </c>
      <c r="B21" s="8" t="inlineStr">
        <is>
          <t>API 4.8, DB 4.7</t>
        </is>
      </c>
      <c r="C21" s="8" t="inlineStr">
        <is>
          <t>CAT</t>
        </is>
      </c>
      <c r="D21" s="8" t="inlineStr">
        <is>
          <t>Tour</t>
        </is>
      </c>
      <c r="E21" s="8" t="inlineStr">
        <is>
          <t>Ảnh tour: tải lên, sắp xếp, ảnh đại diện</t>
        </is>
      </c>
      <c r="F21" s="8" t="inlineStr"/>
      <c r="G21" s="8" t="inlineStr">
        <is>
          <t>2 · Phát triển</t>
        </is>
      </c>
      <c r="H21" s="8" t="inlineStr">
        <is>
          <t>S2</t>
        </is>
      </c>
      <c r="I21" s="8" t="inlineStr"/>
    </row>
    <row r="22">
      <c r="A22" s="8" t="inlineStr">
        <is>
          <t>CAT-06</t>
        </is>
      </c>
      <c r="B22" s="8" t="inlineStr">
        <is>
          <t>SRS 4.2; API 4.7</t>
        </is>
      </c>
      <c r="C22" s="8" t="inlineStr">
        <is>
          <t>CAT</t>
        </is>
      </c>
      <c r="D22" s="8" t="inlineStr">
        <is>
          <t>Tìm kiếm</t>
        </is>
      </c>
      <c r="E22" s="8" t="inlineStr">
        <is>
          <t>Tìm và lọc tour theo từ khoá, danh mục, khoảng giá, ngày khởi hành; phân trang</t>
        </is>
      </c>
      <c r="F22" s="8" t="inlineStr">
        <is>
          <t>★</t>
        </is>
      </c>
      <c r="G22" s="8" t="inlineStr">
        <is>
          <t>2 · Phát triển</t>
        </is>
      </c>
      <c r="H22" s="8" t="inlineStr">
        <is>
          <t>S1</t>
        </is>
      </c>
      <c r="I22" s="8" t="inlineStr"/>
    </row>
    <row r="23">
      <c r="A23" s="8" t="inlineStr">
        <is>
          <t>CAT-07</t>
        </is>
      </c>
      <c r="B23" s="8" t="inlineStr">
        <is>
          <t>SRS 4.3, 3.1.1.3</t>
        </is>
      </c>
      <c r="C23" s="8" t="inlineStr">
        <is>
          <t>CAT</t>
        </is>
      </c>
      <c r="D23" s="8" t="inlineStr">
        <is>
          <t>Tìm kiếm</t>
        </is>
      </c>
      <c r="E23" s="8" t="inlineStr">
        <is>
          <t>Trang chi tiết tour công khai: mô tả, lịch trình, ảnh, các đợt khởi hành còn chỗ, đánh giá</t>
        </is>
      </c>
      <c r="F23" s="8" t="inlineStr">
        <is>
          <t>★</t>
        </is>
      </c>
      <c r="G23" s="8" t="inlineStr">
        <is>
          <t>2 · Phát triển</t>
        </is>
      </c>
      <c r="H23" s="8" t="inlineStr">
        <is>
          <t>S1</t>
        </is>
      </c>
      <c r="I23" s="8" t="inlineStr"/>
    </row>
    <row r="24">
      <c r="A24" s="8" t="inlineStr">
        <is>
          <t>DEP-01</t>
        </is>
      </c>
      <c r="B24" s="8" t="inlineStr">
        <is>
          <t>SRS UC-TDM-01..03; API 4.1; DB 4.10</t>
        </is>
      </c>
      <c r="C24" s="8" t="inlineStr">
        <is>
          <t>DEP</t>
        </is>
      </c>
      <c r="D24" s="8" t="inlineStr">
        <is>
          <t>Lịch khởi hành</t>
        </is>
      </c>
      <c r="E24" s="8" t="inlineStr">
        <is>
          <t>Đợt khởi hành: tạo, sửa, huỷ; sức chứa; giá riêng theo đợt và vé trẻ em</t>
        </is>
      </c>
      <c r="F24" s="8" t="inlineStr">
        <is>
          <t>★</t>
        </is>
      </c>
      <c r="G24" s="8" t="inlineStr">
        <is>
          <t>2 · Phát triển</t>
        </is>
      </c>
      <c r="H24" s="8" t="inlineStr">
        <is>
          <t>S1</t>
        </is>
      </c>
      <c r="I24" s="8" t="inlineStr">
        <is>
          <t>Giá theo đợt + vé trẻ em là phần mentor bổ sung (SRS chỉ có giá ở tour)</t>
        </is>
      </c>
    </row>
    <row r="25">
      <c r="A25" s="8" t="inlineStr">
        <is>
          <t>DEP-02</t>
        </is>
      </c>
      <c r="B25" s="8" t="inlineStr">
        <is>
          <t>SRS 9.4, 5.1</t>
        </is>
      </c>
      <c r="C25" s="8" t="inlineStr">
        <is>
          <t>DEP</t>
        </is>
      </c>
      <c r="D25" s="8" t="inlineStr">
        <is>
          <t>Lịch khởi hành</t>
        </is>
      </c>
      <c r="E25" s="8" t="inlineStr">
        <is>
          <t>Trạng thái đợt: OPEN → IN_PROGRESS → COMPLETED / CANCELLED, tự chuyển theo ngày hoặc do HDV</t>
        </is>
      </c>
      <c r="F25" s="8" t="inlineStr"/>
      <c r="G25" s="8" t="inlineStr">
        <is>
          <t>2 · Phát triển</t>
        </is>
      </c>
      <c r="H25" s="8" t="inlineStr">
        <is>
          <t>S2</t>
        </is>
      </c>
      <c r="I25" s="8" t="inlineStr"/>
    </row>
    <row r="26">
      <c r="A26" s="8" t="inlineStr">
        <is>
          <t>DEP-03</t>
        </is>
      </c>
      <c r="B26" s="8" t="inlineStr">
        <is>
          <t>SRS 9.8; DB tour_guide_id</t>
        </is>
      </c>
      <c r="C26" s="8" t="inlineStr">
        <is>
          <t>DEP</t>
        </is>
      </c>
      <c r="D26" s="8" t="inlineStr">
        <is>
          <t>Hướng dẫn viên</t>
        </is>
      </c>
      <c r="E26" s="8" t="inlineStr">
        <is>
          <t>Phân công hướng dẫn viên, chặn trùng lịch</t>
        </is>
      </c>
      <c r="F26" s="8" t="inlineStr"/>
      <c r="G26" s="8" t="inlineStr">
        <is>
          <t>2 · Phát triển</t>
        </is>
      </c>
      <c r="H26" s="8" t="inlineStr">
        <is>
          <t>S2</t>
        </is>
      </c>
      <c r="I26" s="8" t="inlineStr"/>
    </row>
    <row r="27">
      <c r="A27" s="8" t="inlineStr">
        <is>
          <t>DEP-04</t>
        </is>
      </c>
      <c r="B27" s="8" t="inlineStr">
        <is>
          <t>BS (SRS thiếu luồng)</t>
        </is>
      </c>
      <c r="C27" s="8" t="inlineStr">
        <is>
          <t>DEP</t>
        </is>
      </c>
      <c r="D27" s="8" t="inlineStr">
        <is>
          <t>Lịch khởi hành</t>
        </is>
      </c>
      <c r="E27" s="8" t="inlineStr">
        <is>
          <t>Huỷ đợt khởi hành: huỷ hàng loạt booking, hoàn tiền và thông báo</t>
        </is>
      </c>
      <c r="F27" s="8" t="inlineStr"/>
      <c r="G27" s="8" t="inlineStr">
        <is>
          <t>2 · Phát triển</t>
        </is>
      </c>
      <c r="H27" s="8" t="inlineStr">
        <is>
          <t>S3</t>
        </is>
      </c>
      <c r="I27" s="8" t="inlineStr">
        <is>
          <t>Mentor đề xuất thêm</t>
        </is>
      </c>
    </row>
    <row r="28">
      <c r="A28" s="8" t="inlineStr">
        <is>
          <t>BK-01</t>
        </is>
      </c>
      <c r="B28" s="8" t="inlineStr">
        <is>
          <t>SRS 4.6, 8.8; API 4.2; DB 4.11</t>
        </is>
      </c>
      <c r="C28" s="8" t="inlineStr">
        <is>
          <t>BK</t>
        </is>
      </c>
      <c r="D28" s="8" t="inlineStr">
        <is>
          <t>Đặt tour</t>
        </is>
      </c>
      <c r="E28" s="8" t="inlineStr">
        <is>
          <t>Đặt tour: chọn đợt, số vé người lớn/trẻ em, giữ chỗ có hạn, chống đặt trùng chỗ bằng khoá ở DB</t>
        </is>
      </c>
      <c r="F28" s="8" t="inlineStr">
        <is>
          <t>★</t>
        </is>
      </c>
      <c r="G28" s="8" t="inlineStr">
        <is>
          <t>2 · Phát triển</t>
        </is>
      </c>
      <c r="H28" s="8" t="inlineStr">
        <is>
          <t>S2</t>
        </is>
      </c>
      <c r="I28" s="8" t="inlineStr"/>
    </row>
    <row r="29">
      <c r="A29" s="8" t="inlineStr">
        <is>
          <t>BK-02</t>
        </is>
      </c>
      <c r="B29" s="8" t="inlineStr">
        <is>
          <t>SRS 9.3</t>
        </is>
      </c>
      <c r="C29" s="8" t="inlineStr">
        <is>
          <t>BK</t>
        </is>
      </c>
      <c r="D29" s="8" t="inlineStr">
        <is>
          <t>Đặt tour</t>
        </is>
      </c>
      <c r="E29" s="8" t="inlineStr">
        <is>
          <t>Máy trạng thái booking và bảng chuyển trạng thái, chuyển sai trả 409</t>
        </is>
      </c>
      <c r="F29" s="8" t="inlineStr">
        <is>
          <t>★</t>
        </is>
      </c>
      <c r="G29" s="8" t="inlineStr">
        <is>
          <t>2 · Phát triển</t>
        </is>
      </c>
      <c r="H29" s="8" t="inlineStr">
        <is>
          <t>S2</t>
        </is>
      </c>
      <c r="I29" s="8" t="inlineStr"/>
    </row>
    <row r="30">
      <c r="A30" s="8" t="inlineStr">
        <is>
          <t>BK-03</t>
        </is>
      </c>
      <c r="B30" s="8" t="inlineStr">
        <is>
          <t>BS (SRS 4.7 A2 chưa định nghĩa)</t>
        </is>
      </c>
      <c r="C30" s="8" t="inlineStr">
        <is>
          <t>BK</t>
        </is>
      </c>
      <c r="D30" s="8" t="inlineStr">
        <is>
          <t>Đặt tour</t>
        </is>
      </c>
      <c r="E30" s="8" t="inlineStr">
        <is>
          <t>Tự huỷ booking quá hạn thanh toán và nhả chỗ (job định kỳ)</t>
        </is>
      </c>
      <c r="F30" s="8" t="inlineStr">
        <is>
          <t>★</t>
        </is>
      </c>
      <c r="G30" s="8" t="inlineStr">
        <is>
          <t>2 · Phát triển</t>
        </is>
      </c>
      <c r="H30" s="8" t="inlineStr">
        <is>
          <t>S2</t>
        </is>
      </c>
      <c r="I30" s="8" t="inlineStr">
        <is>
          <t>Mentor đề xuất thêm</t>
        </is>
      </c>
    </row>
    <row r="31">
      <c r="A31" s="8" t="inlineStr">
        <is>
          <t>BK-04</t>
        </is>
      </c>
      <c r="B31" s="8" t="inlineStr">
        <is>
          <t>SRS 4.5; API users/me/bookings</t>
        </is>
      </c>
      <c r="C31" s="8" t="inlineStr">
        <is>
          <t>BK</t>
        </is>
      </c>
      <c r="D31" s="8" t="inlineStr">
        <is>
          <t>Đơn của tôi</t>
        </is>
      </c>
      <c r="E31" s="8" t="inlineStr">
        <is>
          <t>Đơn của tôi: danh sách, chi tiết, mã booking, trạng thái thanh toán</t>
        </is>
      </c>
      <c r="F31" s="8" t="inlineStr"/>
      <c r="G31" s="8" t="inlineStr">
        <is>
          <t>2 · Phát triển</t>
        </is>
      </c>
      <c r="H31" s="8" t="inlineStr">
        <is>
          <t>S2</t>
        </is>
      </c>
      <c r="I31" s="8" t="inlineStr"/>
    </row>
    <row r="32">
      <c r="A32" s="8" t="inlineStr">
        <is>
          <t>BK-05</t>
        </is>
      </c>
      <c r="B32" s="8" t="inlineStr">
        <is>
          <t>SRS 4.8, 9.6</t>
        </is>
      </c>
      <c r="C32" s="8" t="inlineStr">
        <is>
          <t>BK</t>
        </is>
      </c>
      <c r="D32" s="8" t="inlineStr">
        <is>
          <t>Huỷ</t>
        </is>
      </c>
      <c r="E32" s="8" t="inlineStr">
        <is>
          <t>Khách huỷ booking theo chính sách (mốc trước khởi hành, tỷ lệ hoàn)</t>
        </is>
      </c>
      <c r="F32" s="8" t="inlineStr"/>
      <c r="G32" s="8" t="inlineStr">
        <is>
          <t>2 · Phát triển</t>
        </is>
      </c>
      <c r="H32" s="8" t="inlineStr">
        <is>
          <t>S3</t>
        </is>
      </c>
      <c r="I32" s="8" t="inlineStr"/>
    </row>
    <row r="33">
      <c r="A33" s="8" t="inlineStr">
        <is>
          <t>BK-06</t>
        </is>
      </c>
      <c r="B33" s="8" t="inlineStr">
        <is>
          <t>API 4.2 admin</t>
        </is>
      </c>
      <c r="C33" s="8" t="inlineStr">
        <is>
          <t>BK</t>
        </is>
      </c>
      <c r="D33" s="8" t="inlineStr">
        <is>
          <t>Quản lý đơn</t>
        </is>
      </c>
      <c r="E33" s="8" t="inlineStr">
        <is>
          <t>Quản lý đơn đặt tour: danh sách, lọc, chi tiết, đổi trạng thái</t>
        </is>
      </c>
      <c r="F33" s="8" t="inlineStr"/>
      <c r="G33" s="8" t="inlineStr">
        <is>
          <t>2 · Phát triển</t>
        </is>
      </c>
      <c r="H33" s="8" t="inlineStr">
        <is>
          <t>S2</t>
        </is>
      </c>
      <c r="I33" s="8" t="inlineStr"/>
    </row>
    <row r="34">
      <c r="A34" s="8" t="inlineStr">
        <is>
          <t>PAY-01</t>
        </is>
      </c>
      <c r="B34" s="8" t="inlineStr">
        <is>
          <t>SRS 4.7; Arch 1.4; API 4.3</t>
        </is>
      </c>
      <c r="C34" s="8" t="inlineStr">
        <is>
          <t>PAY</t>
        </is>
      </c>
      <c r="D34" s="8" t="inlineStr">
        <is>
          <t>Thanh toán</t>
        </is>
      </c>
      <c r="E34" s="8" t="inlineStr">
        <is>
          <t>Thanh toán qua adapter cổng: cổng giả lập mặc định, Stripe Checkout khi có khoá</t>
        </is>
      </c>
      <c r="F34" s="8" t="inlineStr">
        <is>
          <t>★</t>
        </is>
      </c>
      <c r="G34" s="8" t="inlineStr">
        <is>
          <t>2 · Phát triển</t>
        </is>
      </c>
      <c r="H34" s="8" t="inlineStr">
        <is>
          <t>S2</t>
        </is>
      </c>
      <c r="I34" s="8" t="inlineStr"/>
    </row>
    <row r="35">
      <c r="A35" s="8" t="inlineStr">
        <is>
          <t>PAY-02</t>
        </is>
      </c>
      <c r="B35" s="8" t="inlineStr">
        <is>
          <t>API 4.3 stripe/webhook; DB transaction_code</t>
        </is>
      </c>
      <c r="C35" s="8" t="inlineStr">
        <is>
          <t>PAY</t>
        </is>
      </c>
      <c r="D35" s="8" t="inlineStr">
        <is>
          <t>Thanh toán</t>
        </is>
      </c>
      <c r="E35" s="8" t="inlineStr">
        <is>
          <t>Webhook cổng thanh toán: xác minh chữ ký, chống xử lý trùng theo mã giao dịch</t>
        </is>
      </c>
      <c r="F35" s="8" t="inlineStr">
        <is>
          <t>★</t>
        </is>
      </c>
      <c r="G35" s="8" t="inlineStr">
        <is>
          <t>2 · Phát triển</t>
        </is>
      </c>
      <c r="H35" s="8" t="inlineStr">
        <is>
          <t>S2</t>
        </is>
      </c>
      <c r="I35" s="8" t="inlineStr"/>
    </row>
    <row r="36">
      <c r="A36" s="8" t="inlineStr">
        <is>
          <t>PAY-03</t>
        </is>
      </c>
      <c r="B36" s="8" t="inlineStr">
        <is>
          <t>SRS 7.7; API 4.3</t>
        </is>
      </c>
      <c r="C36" s="8" t="inlineStr">
        <is>
          <t>PAY</t>
        </is>
      </c>
      <c r="D36" s="8" t="inlineStr">
        <is>
          <t>Quản lý thanh toán</t>
        </is>
      </c>
      <c r="E36" s="8" t="inlineStr">
        <is>
          <t>Quản lý thanh toán: danh sách, xác minh thủ công, huỷ, hoàn tiền</t>
        </is>
      </c>
      <c r="F36" s="8" t="inlineStr"/>
      <c r="G36" s="8" t="inlineStr">
        <is>
          <t>2 · Phát triển</t>
        </is>
      </c>
      <c r="H36" s="8" t="inlineStr">
        <is>
          <t>S3</t>
        </is>
      </c>
      <c r="I36" s="8" t="inlineStr"/>
    </row>
    <row r="37">
      <c r="A37" s="8" t="inlineStr">
        <is>
          <t>PAY-04</t>
        </is>
      </c>
      <c r="B37" s="8" t="inlineStr">
        <is>
          <t>API 4.4; DB 4.13</t>
        </is>
      </c>
      <c r="C37" s="8" t="inlineStr">
        <is>
          <t>PAY</t>
        </is>
      </c>
      <c r="D37" s="8" t="inlineStr">
        <is>
          <t>Hoá đơn</t>
        </is>
      </c>
      <c r="E37" s="8" t="inlineStr">
        <is>
          <t>Hoá đơn sinh khi thanh toán thành công; khách và admin xem</t>
        </is>
      </c>
      <c r="F37" s="8" t="inlineStr"/>
      <c r="G37" s="8" t="inlineStr">
        <is>
          <t>2 · Phát triển</t>
        </is>
      </c>
      <c r="H37" s="8" t="inlineStr">
        <is>
          <t>S3</t>
        </is>
      </c>
      <c r="I37" s="8" t="inlineStr"/>
    </row>
    <row r="38">
      <c r="A38" s="8" t="inlineStr">
        <is>
          <t>REV-01</t>
        </is>
      </c>
      <c r="B38" s="8" t="inlineStr">
        <is>
          <t>SRS 4.9, 9.7; API 4.5</t>
        </is>
      </c>
      <c r="C38" s="8" t="inlineStr">
        <is>
          <t>REV</t>
        </is>
      </c>
      <c r="D38" s="8" t="inlineStr">
        <is>
          <t>Đánh giá</t>
        </is>
      </c>
      <c r="E38" s="8" t="inlineStr">
        <is>
          <t>Đánh giá sau chuyến đi: một booking một đánh giá, hiện trên trang tour</t>
        </is>
      </c>
      <c r="F38" s="8" t="inlineStr"/>
      <c r="G38" s="8" t="inlineStr">
        <is>
          <t>2 · Phát triển</t>
        </is>
      </c>
      <c r="H38" s="8" t="inlineStr">
        <is>
          <t>S3</t>
        </is>
      </c>
      <c r="I38" s="8" t="inlineStr"/>
    </row>
    <row r="39">
      <c r="A39" s="8" t="inlineStr">
        <is>
          <t>REV-02</t>
        </is>
      </c>
      <c r="B39" s="8" t="inlineStr">
        <is>
          <t>SRS 9.7; DB reviews.status</t>
        </is>
      </c>
      <c r="C39" s="8" t="inlineStr">
        <is>
          <t>REV</t>
        </is>
      </c>
      <c r="D39" s="8" t="inlineStr">
        <is>
          <t>Đánh giá</t>
        </is>
      </c>
      <c r="E39" s="8" t="inlineStr">
        <is>
          <t>Kiểm duyệt đánh giá: ẩn, hiện</t>
        </is>
      </c>
      <c r="F39" s="8" t="inlineStr"/>
      <c r="G39" s="8" t="inlineStr">
        <is>
          <t>2 · Phát triển</t>
        </is>
      </c>
      <c r="H39" s="8" t="inlineStr">
        <is>
          <t>S3</t>
        </is>
      </c>
      <c r="I39" s="8" t="inlineStr"/>
    </row>
    <row r="40">
      <c r="A40" s="8" t="inlineStr">
        <is>
          <t>NTF-01</t>
        </is>
      </c>
      <c r="B40" s="8" t="inlineStr">
        <is>
          <t>SRS 9.9; API 4.6; DB 4.15</t>
        </is>
      </c>
      <c r="C40" s="8" t="inlineStr">
        <is>
          <t>NTF</t>
        </is>
      </c>
      <c r="D40" s="8" t="inlineStr">
        <is>
          <t>Thông báo</t>
        </is>
      </c>
      <c r="E40" s="8" t="inlineStr">
        <is>
          <t>Thông báo trong ứng dụng theo sự kiện booking, thanh toán, lịch</t>
        </is>
      </c>
      <c r="F40" s="8" t="inlineStr"/>
      <c r="G40" s="8" t="inlineStr">
        <is>
          <t>2 · Phát triển</t>
        </is>
      </c>
      <c r="H40" s="8" t="inlineStr">
        <is>
          <t>S3</t>
        </is>
      </c>
      <c r="I40" s="8" t="inlineStr"/>
    </row>
    <row r="41">
      <c r="A41" s="8" t="inlineStr">
        <is>
          <t>NTF-02</t>
        </is>
      </c>
      <c r="B41" s="8" t="inlineStr">
        <is>
          <t>BS (SRS không nêu kênh)</t>
        </is>
      </c>
      <c r="C41" s="8" t="inlineStr">
        <is>
          <t>NTF</t>
        </is>
      </c>
      <c r="D41" s="8" t="inlineStr">
        <is>
          <t>Thông báo</t>
        </is>
      </c>
      <c r="E41" s="8" t="inlineStr">
        <is>
          <t>Email giao dịch: xác nhận đặt, thanh toán, huỷ</t>
        </is>
      </c>
      <c r="F41" s="8" t="inlineStr"/>
      <c r="G41" s="8" t="inlineStr">
        <is>
          <t>2 · Phát triển</t>
        </is>
      </c>
      <c r="H41" s="8" t="inlineStr">
        <is>
          <t>S3</t>
        </is>
      </c>
      <c r="I41" s="8" t="inlineStr">
        <is>
          <t>Mentor đề xuất thêm</t>
        </is>
      </c>
    </row>
    <row r="42">
      <c r="A42" s="8" t="inlineStr">
        <is>
          <t>GDE-01</t>
        </is>
      </c>
      <c r="B42" s="8" t="inlineStr">
        <is>
          <t>SRS 3.1.3.1</t>
        </is>
      </c>
      <c r="C42" s="8" t="inlineStr">
        <is>
          <t>GUIDE</t>
        </is>
      </c>
      <c r="D42" s="8" t="inlineStr">
        <is>
          <t>Hướng dẫn viên</t>
        </is>
      </c>
      <c r="E42" s="8" t="inlineStr">
        <is>
          <t>HDV xem các đợt được phân công và danh sách khách</t>
        </is>
      </c>
      <c r="F42" s="8" t="inlineStr"/>
      <c r="G42" s="8" t="inlineStr">
        <is>
          <t>2 · Phát triển</t>
        </is>
      </c>
      <c r="H42" s="8" t="inlineStr">
        <is>
          <t>S2</t>
        </is>
      </c>
      <c r="I42" s="8" t="inlineStr"/>
    </row>
    <row r="43">
      <c r="A43" s="8" t="inlineStr">
        <is>
          <t>GDE-02</t>
        </is>
      </c>
      <c r="B43" s="8" t="inlineStr">
        <is>
          <t>SRS 3.1.3.2, 5.1</t>
        </is>
      </c>
      <c r="C43" s="8" t="inlineStr">
        <is>
          <t>GUIDE</t>
        </is>
      </c>
      <c r="D43" s="8" t="inlineStr">
        <is>
          <t>Hướng dẫn viên</t>
        </is>
      </c>
      <c r="E43" s="8" t="inlineStr">
        <is>
          <t>HDV cập nhật trạng thái đợt, kết thúc tour để mở đánh giá</t>
        </is>
      </c>
      <c r="F43" s="8" t="inlineStr">
        <is>
          <t>★</t>
        </is>
      </c>
      <c r="G43" s="8" t="inlineStr">
        <is>
          <t>2 · Phát triển</t>
        </is>
      </c>
      <c r="H43" s="8" t="inlineStr">
        <is>
          <t>S2</t>
        </is>
      </c>
      <c r="I43" s="8" t="inlineStr"/>
    </row>
    <row r="44">
      <c r="A44" s="8" t="inlineStr">
        <is>
          <t>ADM-01</t>
        </is>
      </c>
      <c r="B44" s="8" t="inlineStr">
        <is>
          <t>SRS 7.1–7.4; API 4.13</t>
        </is>
      </c>
      <c r="C44" s="8" t="inlineStr">
        <is>
          <t>ADM</t>
        </is>
      </c>
      <c r="D44" s="8" t="inlineStr">
        <is>
          <t>Tài khoản</t>
        </is>
      </c>
      <c r="E44" s="8" t="inlineStr">
        <is>
          <t>Quản lý tài khoản: danh sách, tạo, khoá/mở, đổi vai trò</t>
        </is>
      </c>
      <c r="F44" s="8" t="inlineStr"/>
      <c r="G44" s="8" t="inlineStr">
        <is>
          <t>2 · Phát triển</t>
        </is>
      </c>
      <c r="H44" s="8" t="inlineStr">
        <is>
          <t>S2</t>
        </is>
      </c>
      <c r="I44" s="8" t="inlineStr"/>
    </row>
    <row r="45">
      <c r="A45" s="8" t="inlineStr">
        <is>
          <t>ADM-02</t>
        </is>
      </c>
      <c r="B45" s="8" t="inlineStr">
        <is>
          <t>SRS 7.8; API 4.14</t>
        </is>
      </c>
      <c r="C45" s="8" t="inlineStr">
        <is>
          <t>ADM</t>
        </is>
      </c>
      <c r="D45" s="8" t="inlineStr">
        <is>
          <t>Phân quyền</t>
        </is>
      </c>
      <c r="E45" s="8" t="inlineStr">
        <is>
          <t>Cấu hình quyền hạn theo vai trò (roles, permissions)</t>
        </is>
      </c>
      <c r="F45" s="8" t="inlineStr"/>
      <c r="G45" s="8" t="inlineStr">
        <is>
          <t>2 · Phát triển</t>
        </is>
      </c>
      <c r="H45" s="8" t="inlineStr">
        <is>
          <t>S3</t>
        </is>
      </c>
      <c r="I45" s="8" t="inlineStr"/>
    </row>
    <row r="46">
      <c r="A46" s="8" t="inlineStr">
        <is>
          <t>ADM-03</t>
        </is>
      </c>
      <c r="B46" s="8" t="inlineStr">
        <is>
          <t>SRS 3.1.4.2, 3.1.4.4</t>
        </is>
      </c>
      <c r="C46" s="8" t="inlineStr">
        <is>
          <t>ADM</t>
        </is>
      </c>
      <c r="D46" s="8" t="inlineStr">
        <is>
          <t>Báo cáo</t>
        </is>
      </c>
      <c r="E46" s="8" t="inlineStr">
        <is>
          <t>Dashboard và thống kê: tour, đợt, booking theo trạng thái, doanh thu</t>
        </is>
      </c>
      <c r="F46" s="8" t="inlineStr"/>
      <c r="G46" s="8" t="inlineStr">
        <is>
          <t>2 · Phát triển</t>
        </is>
      </c>
      <c r="H46" s="8" t="inlineStr">
        <is>
          <t>S3</t>
        </is>
      </c>
      <c r="I46" s="8" t="inlineStr"/>
    </row>
    <row r="47">
      <c r="A47" s="8" t="inlineStr">
        <is>
          <t>ADM-04</t>
        </is>
      </c>
      <c r="B47" s="8" t="inlineStr">
        <is>
          <t>SRS 7.5; DB 4.17</t>
        </is>
      </c>
      <c r="C47" s="8" t="inlineStr">
        <is>
          <t>ADM</t>
        </is>
      </c>
      <c r="D47" s="8" t="inlineStr">
        <is>
          <t>Cấu hình</t>
        </is>
      </c>
      <c r="E47" s="8" t="inlineStr">
        <is>
          <t>Cấu hình hệ thống: hạn thanh toán, chính sách huỷ, tham số chung</t>
        </is>
      </c>
      <c r="F47" s="8" t="inlineStr"/>
      <c r="G47" s="8" t="inlineStr">
        <is>
          <t>2 · Phát triển</t>
        </is>
      </c>
      <c r="H47" s="8" t="inlineStr">
        <is>
          <t>S2</t>
        </is>
      </c>
      <c r="I47" s="8" t="inlineStr"/>
    </row>
    <row r="48">
      <c r="A48" s="8" t="inlineStr">
        <is>
          <t>QA-01</t>
        </is>
      </c>
      <c r="B48" s="8" t="inlineStr">
        <is>
          <t>Kế hoạch khoá T11–T12</t>
        </is>
      </c>
      <c r="C48" s="8" t="inlineStr">
        <is>
          <t>NỀN</t>
        </is>
      </c>
      <c r="D48" s="8" t="inlineStr">
        <is>
          <t>Chất lượng</t>
        </is>
      </c>
      <c r="E48" s="8" t="inlineStr">
        <is>
          <t>Kiểm thử nghiệm thu luồng chính, sửa lỗi, chụp màn hình và chuẩn bị demo</t>
        </is>
      </c>
      <c r="F48" s="8" t="inlineStr">
        <is>
          <t>★</t>
        </is>
      </c>
      <c r="G48" s="8" t="inlineStr">
        <is>
          <t>3 · Kiểm thử và demo</t>
        </is>
      </c>
      <c r="H48" s="8" t="inlineStr"/>
      <c r="I48" s="8" t="inlineStr"/>
    </row>
    <row r="49">
      <c r="A49" s="8" t="inlineStr">
        <is>
          <t>QA-02</t>
        </is>
      </c>
      <c r="B49" s="8" t="inlineStr">
        <is>
          <t>Handover T1 §5</t>
        </is>
      </c>
      <c r="C49" s="8" t="inlineStr">
        <is>
          <t>NỀN</t>
        </is>
      </c>
      <c r="D49" s="8" t="inlineStr">
        <is>
          <t>Tài liệu</t>
        </is>
      </c>
      <c r="E49" s="8" t="inlineStr">
        <is>
          <t>Tài liệu bàn giao: runbook demo, tài khoản mẫu, bảng so sánh mentor – intern</t>
        </is>
      </c>
      <c r="F49" s="8" t="inlineStr"/>
      <c r="G49" s="8" t="inlineStr">
        <is>
          <t>3 · Kiểm thử và demo</t>
        </is>
      </c>
      <c r="H49" s="8" t="inlineStr"/>
      <c r="I49" s="8" t="inlineStr"/>
    </row>
    <row r="51">
      <c r="A51" s="4" t="inlineStr">
        <is>
          <t>© 2026 TVT GROUP · Tài liệu nội bộ · 23/09/2026</t>
        </is>
      </c>
    </row>
  </sheetData>
  <autoFilter ref="A3:I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5" t="inlineStr">
        <is>
          <t>Nhóm nghiệp vụ × Giai đoạn</t>
        </is>
      </c>
    </row>
    <row r="2">
      <c r="A2" s="6" t="inlineStr">
        <is>
          <t>Ô nào có chữ là giai đoạn đó làm phần việc ấy · ★ phần bắt buộc · mỗi sprint 2 tuần</t>
        </is>
      </c>
    </row>
    <row r="3">
      <c r="A3" s="7" t="inlineStr">
        <is>
          <t>Nhóm nghiệp vụ</t>
        </is>
      </c>
      <c r="B3" s="7" t="inlineStr">
        <is>
          <t>0 · Tài liệu</t>
        </is>
      </c>
      <c r="C3" s="7" t="inlineStr">
        <is>
          <t>1 · UX/UI + nền kỹ thuật</t>
        </is>
      </c>
      <c r="D3" s="7" t="inlineStr">
        <is>
          <t>S1</t>
        </is>
      </c>
      <c r="E3" s="7" t="inlineStr">
        <is>
          <t>S2</t>
        </is>
      </c>
      <c r="F3" s="7" t="inlineStr">
        <is>
          <t>S3</t>
        </is>
      </c>
      <c r="G3" s="7" t="inlineStr">
        <is>
          <t>3 · Kiểm thử và demo</t>
        </is>
      </c>
    </row>
    <row r="4">
      <c r="A4" s="8" t="inlineStr">
        <is>
          <t>ACC — Tài khoản và phân quyền</t>
        </is>
      </c>
      <c r="B4" s="8" t="inlineStr">
        <is>
          <t>Chốt enum trạng thái tài khoản, vai trò</t>
        </is>
      </c>
      <c r="C4" s="8" t="inlineStr">
        <is>
          <t>Màn đăng nhập, đăng ký</t>
        </is>
      </c>
      <c r="D4" s="8" t="inlineStr">
        <is>
          <t>★ Đăng ký tài khoản khách hàng
★ Đăng nhập JWT, refresh token xoay…
★ Phân quyền theo vai trò: Customer…</t>
        </is>
      </c>
      <c r="E4" s="8" t="inlineStr">
        <is>
          <t>Hồ sơ cá nhân: xem, sửa, đổi mật…</t>
        </is>
      </c>
      <c r="F4" s="8" t="inlineStr">
        <is>
          <t>Quên mật khẩu qua email</t>
        </is>
      </c>
      <c r="G4" s="8" t="inlineStr">
        <is>
          <t>Kiểm thử phân quyền</t>
        </is>
      </c>
    </row>
    <row r="5">
      <c r="A5" s="8" t="inlineStr">
        <is>
          <t>CAT — Tour, danh mục, tìm kiếm</t>
        </is>
      </c>
      <c r="B5" s="8" t="inlineStr">
        <is>
          <t>Chốt trường bắt buộc của tour</t>
        </is>
      </c>
      <c r="C5" s="8" t="inlineStr">
        <is>
          <t>Mockup danh sách, chi tiết tour</t>
        </is>
      </c>
      <c r="D5" s="8" t="inlineStr">
        <is>
          <t>Danh mục tour: tạo, sửa, xoá
Địa điểm: tạo, sửa, xoá
★ Tour: tạo, sửa, ẩn, xoá mềm; mã t…
Lịch trình tour: các địa điểm the…
★ Tìm và lọc tour theo từ khoá, dan…
★ Trang chi tiết tour công khai: mô…</t>
        </is>
      </c>
      <c r="E5" s="8" t="inlineStr">
        <is>
          <t>Ảnh tour: tải lên, sắp xếp, ảnh đ…</t>
        </is>
      </c>
      <c r="F5" s="8" t="inlineStr"/>
      <c r="G5" s="8" t="inlineStr">
        <is>
          <t>Nhập 6–8 tour mẫu Mekong</t>
        </is>
      </c>
    </row>
    <row r="6">
      <c r="A6" s="8" t="inlineStr">
        <is>
          <t>DEP — Lịch khởi hành</t>
        </is>
      </c>
      <c r="B6" s="8" t="inlineStr">
        <is>
          <t>Chốt giá theo đợt, vé trẻ em, timeout giữ chỗ</t>
        </is>
      </c>
      <c r="C6" s="8" t="inlineStr"/>
      <c r="D6" s="8" t="inlineStr">
        <is>
          <t>★ Đợt khởi hành: tạo, sửa, huỷ; sức…</t>
        </is>
      </c>
      <c r="E6" s="8" t="inlineStr">
        <is>
          <t>Trạng thái đợt: OPEN → IN_PROGRES…
Phân công hướng dẫn viên, chặn tr…</t>
        </is>
      </c>
      <c r="F6" s="8" t="inlineStr">
        <is>
          <t>Huỷ đợt khởi hành: huỷ hàng loạt…</t>
        </is>
      </c>
      <c r="G6" s="8" t="inlineStr">
        <is>
          <t>Kiểm thử đồng thời chỗ cuối</t>
        </is>
      </c>
    </row>
    <row r="7">
      <c r="A7" s="8" t="inlineStr">
        <is>
          <t>BK — Đặt tour</t>
        </is>
      </c>
      <c r="B7" s="8" t="inlineStr">
        <is>
          <t>Chốt bảng chuyển trạng thái booking</t>
        </is>
      </c>
      <c r="C7" s="8" t="inlineStr">
        <is>
          <t>Mockup luồng đặt 4 bước</t>
        </is>
      </c>
      <c r="D7" s="8" t="inlineStr"/>
      <c r="E7" s="8" t="inlineStr">
        <is>
          <t>★ Đặt tour: chọn đợt, số vé người l…
★ Máy trạng thái booking và bảng ch…
★ Tự huỷ booking quá hạn thanh toán…
Đơn của tôi: danh sách, chi tiết,…
Quản lý đơn đặt tour: danh sách,…</t>
        </is>
      </c>
      <c r="F7" s="8" t="inlineStr">
        <is>
          <t>Khách huỷ booking theo chính sách…</t>
        </is>
      </c>
      <c r="G7" s="8" t="inlineStr">
        <is>
          <t>Chạy luồng đầu–cuối</t>
        </is>
      </c>
    </row>
    <row r="8">
      <c r="A8" s="8" t="inlineStr">
        <is>
          <t>PAY — Thanh toán và hoá đơn</t>
        </is>
      </c>
      <c r="B8" s="8" t="inlineStr">
        <is>
          <t>Chốt cổng giả lập ↔ Stripe, chính sách hoàn</t>
        </is>
      </c>
      <c r="C8" s="8" t="inlineStr"/>
      <c r="D8" s="8" t="inlineStr"/>
      <c r="E8" s="8" t="inlineStr">
        <is>
          <t>★ Thanh toán qua adapter cổng: cổng…
★ Webhook cổng thanh toán: xác minh…</t>
        </is>
      </c>
      <c r="F8" s="8" t="inlineStr">
        <is>
          <t>Quản lý thanh toán: danh sách, xá…
Hoá đơn sinh khi thanh toán thành…</t>
        </is>
      </c>
      <c r="G8" s="8" t="inlineStr">
        <is>
          <t>Thử webhook sai chữ ký, gửi trùng</t>
        </is>
      </c>
    </row>
    <row r="9">
      <c r="A9" s="8" t="inlineStr">
        <is>
          <t>GUIDE — Hướng dẫn viên</t>
        </is>
      </c>
      <c r="B9" s="8" t="inlineStr"/>
      <c r="C9" s="8" t="inlineStr">
        <is>
          <t>Màn HDV</t>
        </is>
      </c>
      <c r="D9" s="8" t="inlineStr"/>
      <c r="E9" s="8" t="inlineStr">
        <is>
          <t>HDV xem các đợt được phân công và…
★ HDV cập nhật trạng thái đợt, kết…</t>
        </is>
      </c>
      <c r="F9" s="8" t="inlineStr"/>
      <c r="G9" s="8" t="inlineStr"/>
    </row>
    <row r="10">
      <c r="A10" s="8" t="inlineStr">
        <is>
          <t>REV — Đánh giá</t>
        </is>
      </c>
      <c r="B10" s="8" t="inlineStr"/>
      <c r="C10" s="8" t="inlineStr"/>
      <c r="D10" s="8" t="inlineStr"/>
      <c r="E10" s="8" t="inlineStr"/>
      <c r="F10" s="8" t="inlineStr">
        <is>
          <t>Đánh giá sau chuyến đi: một booki…
Kiểm duyệt đánh giá: ẩn, hiện</t>
        </is>
      </c>
      <c r="G10" s="8" t="inlineStr"/>
    </row>
    <row r="11">
      <c r="A11" s="8" t="inlineStr">
        <is>
          <t>NTF — Thông báo</t>
        </is>
      </c>
      <c r="B11" s="8" t="inlineStr"/>
      <c r="C11" s="8" t="inlineStr"/>
      <c r="D11" s="8" t="inlineStr"/>
      <c r="E11" s="8" t="inlineStr"/>
      <c r="F11" s="8" t="inlineStr">
        <is>
          <t>Thông báo trong ứng dụng theo sự…
Email giao dịch: xác nhận đặt, th…</t>
        </is>
      </c>
      <c r="G11" s="8" t="inlineStr"/>
    </row>
    <row r="12">
      <c r="A12" s="8" t="inlineStr">
        <is>
          <t>ADM — Quản trị và báo cáo</t>
        </is>
      </c>
      <c r="B12" s="8" t="inlineStr"/>
      <c r="C12" s="8" t="inlineStr">
        <is>
          <t>Mockup dashboard, quản lý</t>
        </is>
      </c>
      <c r="D12" s="8" t="inlineStr"/>
      <c r="E12" s="8" t="inlineStr">
        <is>
          <t>Quản lý tài khoản: danh sách, tạo…
Cấu hình hệ thống: hạn thanh toán…</t>
        </is>
      </c>
      <c r="F12" s="8" t="inlineStr">
        <is>
          <t>Cấu hình quyền hạn theo vai trò (…
Dashboard và thống kê: tour, đợt,…</t>
        </is>
      </c>
      <c r="G12" s="8" t="inlineStr">
        <is>
          <t>Đối chiếu số liệu thống kê</t>
        </is>
      </c>
    </row>
    <row r="13">
      <c r="A13" s="8" t="inlineStr">
        <is>
          <t>NỀN — Nền tảng, chất lượng, vận hành</t>
        </is>
      </c>
      <c r="B13" s="8" t="inlineStr"/>
      <c r="C13" s="8" t="inlineStr">
        <is>
          <t>Docker, CI, khung API
★ Khởi tạo dự án backend, frontend,…
★ Khung API chuẩn: ApiResponse, mã…</t>
        </is>
      </c>
      <c r="D13" s="8" t="inlineStr">
        <is>
          <t>CI: build, test tự động ba tầng (…</t>
        </is>
      </c>
      <c r="E13" s="8" t="inlineStr">
        <is>
          <t>Lưu ảnh qua adapter: cục bộ mặc đ…</t>
        </is>
      </c>
      <c r="F13" s="8" t="inlineStr">
        <is>
          <t>Nhật ký kiểm toán (audit log) và…</t>
        </is>
      </c>
      <c r="G13" s="8" t="inlineStr">
        <is>
          <t>Demo cuối khoá
Sao lưu và phục hồi dữ liệu
★ Kiểm thử nghiệm thu luồng chính,…
Tài liệu bàn giao: runbook demo,…</t>
        </is>
      </c>
    </row>
    <row r="14">
      <c r="A14" s="8" t="inlineStr">
        <is>
          <t>QUẢN LÝ — Quản lý dự án</t>
        </is>
      </c>
      <c r="B14" s="8" t="inlineStr">
        <is>
          <t>Baseline 5 tài liệu, gap list
Rà soát và chốt baseline 5 tài li…</t>
        </is>
      </c>
      <c r="C14" s="8" t="inlineStr">
        <is>
          <t>Convention, branch flow, DoD
Convention, cấu trúc repo, branch…</t>
        </is>
      </c>
      <c r="D14" s="8" t="inlineStr"/>
      <c r="E14" s="8" t="inlineStr"/>
      <c r="F14" s="8" t="inlineStr"/>
      <c r="G14" s="8" t="inlineStr"/>
    </row>
    <row r="16">
      <c r="A16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40" customWidth="1" min="4" max="4"/>
    <col width="22" customWidth="1" min="5" max="5"/>
    <col width="8" customWidth="1" min="6" max="6"/>
    <col width="22" customWidth="1" min="7" max="7"/>
    <col width="18" customWidth="1" min="8" max="8"/>
    <col width="14" customWidth="1" min="9" max="9"/>
    <col width="50" customWidth="1" min="10" max="10"/>
    <col width="40" customWidth="1" min="11" max="11"/>
    <col width="40" customWidth="1" min="12" max="12"/>
    <col width="40" customWidth="1" min="13" max="13"/>
    <col width="8" customWidth="1" min="14" max="14"/>
    <col width="12" customWidth="1" min="15" max="15"/>
  </cols>
  <sheetData>
    <row r="1">
      <c r="A1" s="5" t="inlineStr">
        <is>
          <t>Đặc tả chức năng</t>
        </is>
      </c>
    </row>
    <row r="2">
      <c r="A2" s="6" t="inlineStr">
        <is>
          <t>Sắp theo nhóm nghiệp vụ và nhóm tính năng</t>
        </is>
      </c>
    </row>
    <row r="3">
      <c r="A3" s="7" t="inlineStr">
        <is>
          <t>Nhóm nghiệp vụ</t>
        </is>
      </c>
      <c r="B3" s="7" t="inlineStr">
        <is>
          <t>Nhóm tính năng</t>
        </is>
      </c>
      <c r="C3" s="7" t="inlineStr">
        <is>
          <t>Mã</t>
        </is>
      </c>
      <c r="D3" s="7" t="inlineStr">
        <is>
          <t>Tên chức năng</t>
        </is>
      </c>
      <c r="E3" s="7" t="inlineStr">
        <is>
          <t>Giai đoạn</t>
        </is>
      </c>
      <c r="F3" s="7" t="inlineStr">
        <is>
          <t>Sprint</t>
        </is>
      </c>
      <c r="G3" s="7" t="inlineStr">
        <is>
          <t>Nhóm tham gia</t>
        </is>
      </c>
      <c r="H3" s="7" t="inlineStr">
        <is>
          <t>Actor chính</t>
        </is>
      </c>
      <c r="I3" s="7" t="inlineStr">
        <is>
          <t>Nền tảng</t>
        </is>
      </c>
      <c r="J3" s="7" t="inlineStr">
        <is>
          <t>Luồng chính</t>
        </is>
      </c>
      <c r="K3" s="7" t="inlineStr">
        <is>
          <t>Ngoại lệ</t>
        </is>
      </c>
      <c r="L3" s="7" t="inlineStr">
        <is>
          <t>Quy tắc nghiệp vụ</t>
        </is>
      </c>
      <c r="M3" s="7" t="inlineStr">
        <is>
          <t>Tiêu chí nghiệm thu</t>
        </is>
      </c>
      <c r="N3" s="7" t="inlineStr">
        <is>
          <t>Gói</t>
        </is>
      </c>
      <c r="O3" s="7" t="inlineStr">
        <is>
          <t>Mục tài liệu</t>
        </is>
      </c>
    </row>
    <row r="4">
      <c r="A4" s="9" t="inlineStr">
        <is>
          <t>ACC</t>
        </is>
      </c>
      <c r="B4" s="9" t="inlineStr">
        <is>
          <t>Hồ sơ</t>
        </is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ACC</t>
        </is>
      </c>
      <c r="B5" s="8" t="inlineStr">
        <is>
          <t>Hồ sơ</t>
        </is>
      </c>
      <c r="C5" s="8" t="inlineStr">
        <is>
          <t>ACC-03</t>
        </is>
      </c>
      <c r="D5" s="8" t="inlineStr">
        <is>
          <t>Hồ sơ cá nhân: xem, sửa, đổi mật khẩu</t>
        </is>
      </c>
      <c r="E5" s="8" t="inlineStr">
        <is>
          <t>2 · Phát triển</t>
        </is>
      </c>
      <c r="F5" s="8" t="inlineStr">
        <is>
          <t>S2</t>
        </is>
      </c>
      <c r="G5" s="8" t="inlineStr">
        <is>
          <t>BE · Tech Lead · FE · Design · QC</t>
        </is>
      </c>
      <c r="H5" s="8" t="inlineStr">
        <is>
          <t>Khách</t>
        </is>
      </c>
      <c r="I5" s="8" t="inlineStr">
        <is>
          <t>Web</t>
        </is>
      </c>
      <c r="J5" s="8" t="inlineStr">
        <is>
          <t>1. Nhận yêu cầu · 2. Kiểm tra quyền và dữ liệu · 3. Xử lý nghiệp vụ · 4. Lưu và ghi nhật ký · 5. Trả kết quả, thông báo</t>
        </is>
      </c>
      <c r="K5" s="8" t="inlineStr">
        <is>
          <t>Dữ liệu không hợp lệ thì trả lỗi rõ ràng; lỗi hệ thống thì ghi log và cho thử lại</t>
        </is>
      </c>
      <c r="L5" s="8" t="inlineStr">
        <is>
          <t>Hành động nhạy cảm phải có nhật ký thao tác; phân quyền theo vai trò</t>
        </is>
      </c>
      <c r="M5" s="8" t="inlineStr">
        <is>
          <t>Thực hiện đúng luồng chính trên môi trường thử, xử lý đủ ngoại lệ, có kiểm thử tự động cho quy tắc chính</t>
        </is>
      </c>
      <c r="N5" s="8" t="inlineStr"/>
      <c r="O5" s="8" t="inlineStr">
        <is>
          <t>API 4.12 users/me</t>
        </is>
      </c>
    </row>
    <row r="6">
      <c r="A6" s="9" t="inlineStr">
        <is>
          <t>ACC</t>
        </is>
      </c>
      <c r="B6" s="9" t="inlineStr">
        <is>
          <t>Phân quyền</t>
        </is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ACC</t>
        </is>
      </c>
      <c r="B7" s="8" t="inlineStr">
        <is>
          <t>Phân quyền</t>
        </is>
      </c>
      <c r="C7" s="8" t="inlineStr">
        <is>
          <t>ACC-05</t>
        </is>
      </c>
      <c r="D7" s="8" t="inlineStr">
        <is>
          <t>Phân quyền theo vai trò: Customer, Tour Guide, Tour Manager, Admin — chặn ở API và URL</t>
        </is>
      </c>
      <c r="E7" s="8" t="inlineStr">
        <is>
          <t>2 · Phát triển</t>
        </is>
      </c>
      <c r="F7" s="8" t="inlineStr">
        <is>
          <t>S1</t>
        </is>
      </c>
      <c r="G7" s="8" t="inlineStr">
        <is>
          <t>BE · Tech Lead · QC</t>
        </is>
      </c>
      <c r="H7" s="8" t="inlineStr">
        <is>
          <t>Nội bộ</t>
        </is>
      </c>
      <c r="I7" s="8" t="inlineStr">
        <is>
          <t>API + Web</t>
        </is>
      </c>
      <c r="J7" s="8" t="inlineStr">
        <is>
          <t>1. Nhận yêu cầu · 2. Kiểm tra quyền và dữ liệu · 3. Xử lý nghiệp vụ · 4. Lưu và ghi nhật ký · 5. Trả kết quả, thông báo</t>
        </is>
      </c>
      <c r="K7" s="8" t="inlineStr">
        <is>
          <t>Dữ liệu không hợp lệ thì trả lỗi rõ ràng; lỗi hệ thống thì ghi log và cho thử lại</t>
        </is>
      </c>
      <c r="L7" s="8" t="inlineStr">
        <is>
          <t>Hành động nhạy cảm phải có nhật ký thao tác; phân quyền theo vai trò</t>
        </is>
      </c>
      <c r="M7" s="8" t="inlineStr">
        <is>
          <t>Thực hiện đúng luồng chính trên môi trường thử, xử lý đủ ngoại lệ, có kiểm thử tự động cho quy tắc chính</t>
        </is>
      </c>
      <c r="N7" s="8" t="inlineStr"/>
      <c r="O7" s="8" t="inlineStr">
        <is>
          <t>SRS 9.1, 3.2.3, 8.3</t>
        </is>
      </c>
    </row>
    <row r="8">
      <c r="A8" s="9" t="inlineStr">
        <is>
          <t>ACC</t>
        </is>
      </c>
      <c r="B8" s="9" t="inlineStr">
        <is>
          <t>Xác thực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ACC</t>
        </is>
      </c>
      <c r="B9" s="8" t="inlineStr">
        <is>
          <t>Xác thực</t>
        </is>
      </c>
      <c r="C9" s="8" t="inlineStr">
        <is>
          <t>ACC-01</t>
        </is>
      </c>
      <c r="D9" s="8" t="inlineStr">
        <is>
          <t>Đăng ký tài khoản khách hàng</t>
        </is>
      </c>
      <c r="E9" s="8" t="inlineStr">
        <is>
          <t>2 · Phát triển</t>
        </is>
      </c>
      <c r="F9" s="8" t="inlineStr">
        <is>
          <t>S1</t>
        </is>
      </c>
      <c r="G9" s="8" t="inlineStr">
        <is>
          <t>BE · Tech Lead · FE · Design · QC</t>
        </is>
      </c>
      <c r="H9" s="8" t="inlineStr">
        <is>
          <t>Khách</t>
        </is>
      </c>
      <c r="I9" s="8" t="inlineStr">
        <is>
          <t>Web</t>
        </is>
      </c>
      <c r="J9" s="8" t="inlineStr">
        <is>
          <t>1. Nhận yêu cầu · 2. Kiểm tra quyền và dữ liệu · 3. Xử lý nghiệp vụ · 4. Lưu và ghi nhật ký · 5. Trả kết quả, thông báo</t>
        </is>
      </c>
      <c r="K9" s="8" t="inlineStr">
        <is>
          <t>Dữ liệu không hợp lệ thì trả lỗi rõ ràng; lỗi hệ thống thì ghi log và cho thử lại</t>
        </is>
      </c>
      <c r="L9" s="8" t="inlineStr">
        <is>
          <t>Hành động nhạy cảm phải có nhật ký thao tác; phân quyền theo vai trò</t>
        </is>
      </c>
      <c r="M9" s="8" t="inlineStr">
        <is>
          <t>Thực hiện đúng luồng chính trên môi trường thử, xử lý đủ ngoại lệ, có kiểm thử tự động cho quy tắc chính</t>
        </is>
      </c>
      <c r="N9" s="8" t="inlineStr"/>
      <c r="O9" s="8" t="inlineStr">
        <is>
          <t>SRS UC-AUTH-01, API 4.12</t>
        </is>
      </c>
    </row>
    <row r="10">
      <c r="A10" s="8" t="inlineStr">
        <is>
          <t>ACC</t>
        </is>
      </c>
      <c r="B10" s="8" t="inlineStr">
        <is>
          <t>Xác thực</t>
        </is>
      </c>
      <c r="C10" s="8" t="inlineStr">
        <is>
          <t>ACC-02</t>
        </is>
      </c>
      <c r="D10" s="8" t="inlineStr">
        <is>
          <t>Đăng nhập JWT, refresh token xoay vòng, đăng xuất</t>
        </is>
      </c>
      <c r="E10" s="8" t="inlineStr">
        <is>
          <t>2 · Phát triển</t>
        </is>
      </c>
      <c r="F10" s="8" t="inlineStr">
        <is>
          <t>S1</t>
        </is>
      </c>
      <c r="G10" s="8" t="inlineStr">
        <is>
          <t>BE · Tech Lead · FE · Design · QC</t>
        </is>
      </c>
      <c r="H10" s="8" t="inlineStr">
        <is>
          <t>Khách · Nội bộ</t>
        </is>
      </c>
      <c r="I10" s="8" t="inlineStr">
        <is>
          <t>Web + API</t>
        </is>
      </c>
      <c r="J10" s="8" t="inlineStr">
        <is>
          <t>1. Gửi email + mật khẩu · 2. Kiểm tra trạng thái tài khoản · 3. Cấp access + refresh token, lưu refresh vào DB · 4. Refresh: xoá token cũ, cấp cặp mới</t>
        </is>
      </c>
      <c r="K10" s="8" t="inlineStr">
        <is>
          <t>Sai mật khẩu 401; tài khoản khoá 403; refresh token đã dùng → 401 và thu hồi cả chuỗi</t>
        </is>
      </c>
      <c r="L10" s="8" t="inlineStr">
        <is>
          <t>Access token ngắn hạn (15 phút), refresh 7 ngày, một lần dùng</t>
        </is>
      </c>
      <c r="M10" s="8" t="inlineStr">
        <is>
          <t>Đăng nhập, gọi API bảo vệ, refresh, đăng xuất đúng như API doc</t>
        </is>
      </c>
      <c r="N10" s="8" t="inlineStr"/>
      <c r="O10" s="8" t="inlineStr">
        <is>
          <t>SRS UC-AUTH-02, API §2</t>
        </is>
      </c>
    </row>
    <row r="11">
      <c r="A11" s="8" t="inlineStr">
        <is>
          <t>ACC</t>
        </is>
      </c>
      <c r="B11" s="8" t="inlineStr">
        <is>
          <t>Xác thực</t>
        </is>
      </c>
      <c r="C11" s="8" t="inlineStr">
        <is>
          <t>ACC-04</t>
        </is>
      </c>
      <c r="D11" s="8" t="inlineStr">
        <is>
          <t>Quên mật khẩu qua email</t>
        </is>
      </c>
      <c r="E11" s="8" t="inlineStr">
        <is>
          <t>2 · Phát triển</t>
        </is>
      </c>
      <c r="F11" s="8" t="inlineStr">
        <is>
          <t>S3</t>
        </is>
      </c>
      <c r="G11" s="8" t="inlineStr">
        <is>
          <t>BE · Tech Lead · FE · Design · QC</t>
        </is>
      </c>
      <c r="H11" s="8" t="inlineStr">
        <is>
          <t>Khách</t>
        </is>
      </c>
      <c r="I11" s="8" t="inlineStr">
        <is>
          <t>Web</t>
        </is>
      </c>
      <c r="J11" s="8" t="inlineStr">
        <is>
          <t>1. Nhận yêu cầu · 2. Kiểm tra quyền và dữ liệu · 3. Xử lý nghiệp vụ · 4. Lưu và ghi nhật ký · 5. Trả kết quả, thông báo</t>
        </is>
      </c>
      <c r="K11" s="8" t="inlineStr">
        <is>
          <t>Dữ liệu không hợp lệ thì trả lỗi rõ ràng; lỗi hệ thống thì ghi log và cho thử lại</t>
        </is>
      </c>
      <c r="L11" s="8" t="inlineStr">
        <is>
          <t>Hành động nhạy cảm phải có nhật ký thao tác; phân quyền theo vai trò</t>
        </is>
      </c>
      <c r="M11" s="8" t="inlineStr">
        <is>
          <t>Thực hiện đúng luồng chính trên môi trường thử, xử lý đủ ngoại lệ, có kiểm thử tự động cho quy tắc chính</t>
        </is>
      </c>
      <c r="N11" s="8" t="inlineStr"/>
      <c r="O11" s="8" t="inlineStr">
        <is>
          <t>BS (SRS thiếu)</t>
        </is>
      </c>
    </row>
    <row r="12">
      <c r="A12" s="9" t="inlineStr">
        <is>
          <t>ADM</t>
        </is>
      </c>
      <c r="B12" s="9" t="inlineStr">
        <is>
          <t>Báo cáo</t>
        </is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ADM</t>
        </is>
      </c>
      <c r="B13" s="8" t="inlineStr">
        <is>
          <t>Báo cáo</t>
        </is>
      </c>
      <c r="C13" s="8" t="inlineStr">
        <is>
          <t>ADM-03</t>
        </is>
      </c>
      <c r="D13" s="8" t="inlineStr">
        <is>
          <t>Dashboard và thống kê: tour, đợt, booking theo trạng thái, doanh thu</t>
        </is>
      </c>
      <c r="E13" s="8" t="inlineStr">
        <is>
          <t>2 · Phát triển</t>
        </is>
      </c>
      <c r="F13" s="8" t="inlineStr">
        <is>
          <t>S3</t>
        </is>
      </c>
      <c r="G13" s="8" t="inlineStr">
        <is>
          <t>BE · Tech Lead · FE · Design · QC</t>
        </is>
      </c>
      <c r="H13" s="8" t="inlineStr">
        <is>
          <t>Admin · Tour Manager</t>
        </is>
      </c>
      <c r="I13" s="8" t="inlineStr">
        <is>
          <t>Web quản trị</t>
        </is>
      </c>
      <c r="J13" s="8" t="inlineStr">
        <is>
          <t>1. Nhận yêu cầu · 2. Kiểm tra quyền và dữ liệu · 3. Xử lý nghiệp vụ · 4. Lưu và ghi nhật ký · 5. Trả kết quả, thông báo</t>
        </is>
      </c>
      <c r="K13" s="8" t="inlineStr">
        <is>
          <t>Dữ liệu không hợp lệ thì trả lỗi rõ ràng; lỗi hệ thống thì ghi log và cho thử lại</t>
        </is>
      </c>
      <c r="L13" s="8" t="inlineStr">
        <is>
          <t>Hành động nhạy cảm phải có nhật ký thao tác; phân quyền theo vai trò</t>
        </is>
      </c>
      <c r="M13" s="8" t="inlineStr">
        <is>
          <t>Thực hiện đúng luồng chính trên môi trường thử, xử lý đủ ngoại lệ, có kiểm thử tự động cho quy tắc chính</t>
        </is>
      </c>
      <c r="N13" s="8" t="inlineStr"/>
      <c r="O13" s="8" t="inlineStr">
        <is>
          <t>SRS 3.1.4.2, 3.1.4.4</t>
        </is>
      </c>
    </row>
    <row r="14">
      <c r="A14" s="9" t="inlineStr">
        <is>
          <t>ADM</t>
        </is>
      </c>
      <c r="B14" s="9" t="inlineStr">
        <is>
          <t>Cấu hình</t>
        </is>
      </c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ADM</t>
        </is>
      </c>
      <c r="B15" s="8" t="inlineStr">
        <is>
          <t>Cấu hình</t>
        </is>
      </c>
      <c r="C15" s="8" t="inlineStr">
        <is>
          <t>ADM-04</t>
        </is>
      </c>
      <c r="D15" s="8" t="inlineStr">
        <is>
          <t>Cấu hình hệ thống: hạn thanh toán, chính sách huỷ, tham số chung</t>
        </is>
      </c>
      <c r="E15" s="8" t="inlineStr">
        <is>
          <t>2 · Phát triển</t>
        </is>
      </c>
      <c r="F15" s="8" t="inlineStr">
        <is>
          <t>S2</t>
        </is>
      </c>
      <c r="G15" s="8" t="inlineStr">
        <is>
          <t>BE · Tech Lead · FE · Design · QC</t>
        </is>
      </c>
      <c r="H15" s="8" t="inlineStr">
        <is>
          <t>Admin</t>
        </is>
      </c>
      <c r="I15" s="8" t="inlineStr">
        <is>
          <t>Web quản trị</t>
        </is>
      </c>
      <c r="J15" s="8" t="inlineStr">
        <is>
          <t>1. Nhận yêu cầu · 2. Kiểm tra quyền và dữ liệu · 3. Xử lý nghiệp vụ · 4. Lưu và ghi nhật ký · 5. Trả kết quả, thông báo</t>
        </is>
      </c>
      <c r="K15" s="8" t="inlineStr">
        <is>
          <t>Dữ liệu không hợp lệ thì trả lỗi rõ ràng; lỗi hệ thống thì ghi log và cho thử lại</t>
        </is>
      </c>
      <c r="L15" s="8" t="inlineStr">
        <is>
          <t>Hành động nhạy cảm phải có nhật ký thao tác; phân quyền theo vai trò</t>
        </is>
      </c>
      <c r="M15" s="8" t="inlineStr">
        <is>
          <t>Thực hiện đúng luồng chính trên môi trường thử, xử lý đủ ngoại lệ, có kiểm thử tự động cho quy tắc chính</t>
        </is>
      </c>
      <c r="N15" s="8" t="inlineStr"/>
      <c r="O15" s="8" t="inlineStr">
        <is>
          <t>SRS 7.5; DB 4.17</t>
        </is>
      </c>
    </row>
    <row r="16">
      <c r="A16" s="9" t="inlineStr">
        <is>
          <t>ADM</t>
        </is>
      </c>
      <c r="B16" s="9" t="inlineStr">
        <is>
          <t>Phân quyền</t>
        </is>
      </c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ADM</t>
        </is>
      </c>
      <c r="B17" s="8" t="inlineStr">
        <is>
          <t>Phân quyền</t>
        </is>
      </c>
      <c r="C17" s="8" t="inlineStr">
        <is>
          <t>ADM-02</t>
        </is>
      </c>
      <c r="D17" s="8" t="inlineStr">
        <is>
          <t>Cấu hình quyền hạn theo vai trò (roles, permissions)</t>
        </is>
      </c>
      <c r="E17" s="8" t="inlineStr">
        <is>
          <t>2 · Phát triển</t>
        </is>
      </c>
      <c r="F17" s="8" t="inlineStr">
        <is>
          <t>S3</t>
        </is>
      </c>
      <c r="G17" s="8" t="inlineStr">
        <is>
          <t>BE · Tech Lead · FE · Design · QC</t>
        </is>
      </c>
      <c r="H17" s="8" t="inlineStr">
        <is>
          <t>Admin</t>
        </is>
      </c>
      <c r="I17" s="8" t="inlineStr">
        <is>
          <t>Web quản trị</t>
        </is>
      </c>
      <c r="J17" s="8" t="inlineStr">
        <is>
          <t>1. Nhận yêu cầu · 2. Kiểm tra quyền và dữ liệu · 3. Xử lý nghiệp vụ · 4. Lưu và ghi nhật ký · 5. Trả kết quả, thông báo</t>
        </is>
      </c>
      <c r="K17" s="8" t="inlineStr">
        <is>
          <t>Dữ liệu không hợp lệ thì trả lỗi rõ ràng; lỗi hệ thống thì ghi log và cho thử lại</t>
        </is>
      </c>
      <c r="L17" s="8" t="inlineStr">
        <is>
          <t>Hành động nhạy cảm phải có nhật ký thao tác; phân quyền theo vai trò</t>
        </is>
      </c>
      <c r="M17" s="8" t="inlineStr">
        <is>
          <t>Thực hiện đúng luồng chính trên môi trường thử, xử lý đủ ngoại lệ, có kiểm thử tự động cho quy tắc chính</t>
        </is>
      </c>
      <c r="N17" s="8" t="inlineStr"/>
      <c r="O17" s="8" t="inlineStr">
        <is>
          <t>SRS 7.8; API 4.14</t>
        </is>
      </c>
    </row>
    <row r="18">
      <c r="A18" s="9" t="inlineStr">
        <is>
          <t>ADM</t>
        </is>
      </c>
      <c r="B18" s="9" t="inlineStr">
        <is>
          <t>Tài khoản</t>
        </is>
      </c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ADM</t>
        </is>
      </c>
      <c r="B19" s="8" t="inlineStr">
        <is>
          <t>Tài khoản</t>
        </is>
      </c>
      <c r="C19" s="8" t="inlineStr">
        <is>
          <t>ADM-01</t>
        </is>
      </c>
      <c r="D19" s="8" t="inlineStr">
        <is>
          <t>Quản lý tài khoản: danh sách, tạo, khoá/mở, đổi vai trò</t>
        </is>
      </c>
      <c r="E19" s="8" t="inlineStr">
        <is>
          <t>2 · Phát triển</t>
        </is>
      </c>
      <c r="F19" s="8" t="inlineStr">
        <is>
          <t>S2</t>
        </is>
      </c>
      <c r="G19" s="8" t="inlineStr">
        <is>
          <t>BE · Tech Lead · FE · Design · QC</t>
        </is>
      </c>
      <c r="H19" s="8" t="inlineStr">
        <is>
          <t>Admin</t>
        </is>
      </c>
      <c r="I19" s="8" t="inlineStr">
        <is>
          <t>Web quản trị</t>
        </is>
      </c>
      <c r="J19" s="8" t="inlineStr">
        <is>
          <t>1. Nhận yêu cầu · 2. Kiểm tra quyền và dữ liệu · 3. Xử lý nghiệp vụ · 4. Lưu và ghi nhật ký · 5. Trả kết quả, thông báo</t>
        </is>
      </c>
      <c r="K19" s="8" t="inlineStr">
        <is>
          <t>Dữ liệu không hợp lệ thì trả lỗi rõ ràng; lỗi hệ thống thì ghi log và cho thử lại</t>
        </is>
      </c>
      <c r="L19" s="8" t="inlineStr">
        <is>
          <t>Hành động nhạy cảm phải có nhật ký thao tác; phân quyền theo vai trò</t>
        </is>
      </c>
      <c r="M19" s="8" t="inlineStr">
        <is>
          <t>Thực hiện đúng luồng chính trên môi trường thử, xử lý đủ ngoại lệ, có kiểm thử tự động cho quy tắc chính</t>
        </is>
      </c>
      <c r="N19" s="8" t="inlineStr"/>
      <c r="O19" s="8" t="inlineStr">
        <is>
          <t>SRS 7.1–7.4; API 4.13</t>
        </is>
      </c>
    </row>
    <row r="20">
      <c r="A20" s="9" t="inlineStr">
        <is>
          <t>BK</t>
        </is>
      </c>
      <c r="B20" s="9" t="inlineStr">
        <is>
          <t>Huỷ</t>
        </is>
      </c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BK</t>
        </is>
      </c>
      <c r="B21" s="8" t="inlineStr">
        <is>
          <t>Huỷ</t>
        </is>
      </c>
      <c r="C21" s="8" t="inlineStr">
        <is>
          <t>BK-05</t>
        </is>
      </c>
      <c r="D21" s="8" t="inlineStr">
        <is>
          <t>Khách huỷ booking theo chính sách (mốc trước khởi hành, tỷ lệ hoàn)</t>
        </is>
      </c>
      <c r="E21" s="8" t="inlineStr">
        <is>
          <t>2 · Phát triển</t>
        </is>
      </c>
      <c r="F21" s="8" t="inlineStr">
        <is>
          <t>S3</t>
        </is>
      </c>
      <c r="G21" s="8" t="inlineStr">
        <is>
          <t>BE · Tech Lead · FE · Design · QC</t>
        </is>
      </c>
      <c r="H21" s="8" t="inlineStr">
        <is>
          <t>Khách</t>
        </is>
      </c>
      <c r="I21" s="8" t="inlineStr">
        <is>
          <t>Web + API</t>
        </is>
      </c>
      <c r="J21" s="8" t="inlineStr">
        <is>
          <t>1. Nhận yêu cầu · 2. Kiểm tra quyền và dữ liệu · 3. Xử lý nghiệp vụ · 4. Lưu và ghi nhật ký · 5. Trả kết quả, thông báo</t>
        </is>
      </c>
      <c r="K21" s="8" t="inlineStr">
        <is>
          <t>Dữ liệu không hợp lệ thì trả lỗi rõ ràng; lỗi hệ thống thì ghi log và cho thử lại</t>
        </is>
      </c>
      <c r="L21" s="8" t="inlineStr">
        <is>
          <t>Hành động nhạy cảm phải có nhật ký thao tác; phân quyền theo vai trò</t>
        </is>
      </c>
      <c r="M21" s="8" t="inlineStr">
        <is>
          <t>Thực hiện đúng luồng chính trên môi trường thử, xử lý đủ ngoại lệ, có kiểm thử tự động cho quy tắc chính</t>
        </is>
      </c>
      <c r="N21" s="8" t="inlineStr"/>
      <c r="O21" s="8" t="inlineStr">
        <is>
          <t>SRS 4.8, 9.6</t>
        </is>
      </c>
    </row>
    <row r="22">
      <c r="A22" s="9" t="inlineStr">
        <is>
          <t>BK</t>
        </is>
      </c>
      <c r="B22" s="9" t="inlineStr">
        <is>
          <t>Quản lý đơn</t>
        </is>
      </c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BK</t>
        </is>
      </c>
      <c r="B23" s="8" t="inlineStr">
        <is>
          <t>Quản lý đơn</t>
        </is>
      </c>
      <c r="C23" s="8" t="inlineStr">
        <is>
          <t>BK-06</t>
        </is>
      </c>
      <c r="D23" s="8" t="inlineStr">
        <is>
          <t>Quản lý đơn đặt tour: danh sách, lọc, chi tiết, đổi trạng thái</t>
        </is>
      </c>
      <c r="E23" s="8" t="inlineStr">
        <is>
          <t>2 · Phát triển</t>
        </is>
      </c>
      <c r="F23" s="8" t="inlineStr">
        <is>
          <t>S2</t>
        </is>
      </c>
      <c r="G23" s="8" t="inlineStr">
        <is>
          <t>BE · Tech Lead · FE · Design · QC</t>
        </is>
      </c>
      <c r="H23" s="8" t="inlineStr">
        <is>
          <t>Tour Manager · Admin</t>
        </is>
      </c>
      <c r="I23" s="8" t="inlineStr">
        <is>
          <t>Web quản trị</t>
        </is>
      </c>
      <c r="J23" s="8" t="inlineStr">
        <is>
          <t>1. Nhận yêu cầu · 2. Kiểm tra quyền và dữ liệu · 3. Xử lý nghiệp vụ · 4. Lưu và ghi nhật ký · 5. Trả kết quả, thông báo</t>
        </is>
      </c>
      <c r="K23" s="8" t="inlineStr">
        <is>
          <t>Dữ liệu không hợp lệ thì trả lỗi rõ ràng; lỗi hệ thống thì ghi log và cho thử lại</t>
        </is>
      </c>
      <c r="L23" s="8" t="inlineStr">
        <is>
          <t>Hành động nhạy cảm phải có nhật ký thao tác; phân quyền theo vai trò</t>
        </is>
      </c>
      <c r="M23" s="8" t="inlineStr">
        <is>
          <t>Thực hiện đúng luồng chính trên môi trường thử, xử lý đủ ngoại lệ, có kiểm thử tự động cho quy tắc chính</t>
        </is>
      </c>
      <c r="N23" s="8" t="inlineStr"/>
      <c r="O23" s="8" t="inlineStr">
        <is>
          <t>API 4.2 admin</t>
        </is>
      </c>
    </row>
    <row r="24">
      <c r="A24" s="9" t="inlineStr">
        <is>
          <t>BK</t>
        </is>
      </c>
      <c r="B24" s="9" t="inlineStr">
        <is>
          <t>Đơn của tôi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BK</t>
        </is>
      </c>
      <c r="B25" s="8" t="inlineStr">
        <is>
          <t>Đơn của tôi</t>
        </is>
      </c>
      <c r="C25" s="8" t="inlineStr">
        <is>
          <t>BK-04</t>
        </is>
      </c>
      <c r="D25" s="8" t="inlineStr">
        <is>
          <t>Đơn của tôi: danh sách, chi tiết, mã booking, trạng thái thanh toán</t>
        </is>
      </c>
      <c r="E25" s="8" t="inlineStr">
        <is>
          <t>2 · Phát triển</t>
        </is>
      </c>
      <c r="F25" s="8" t="inlineStr">
        <is>
          <t>S2</t>
        </is>
      </c>
      <c r="G25" s="8" t="inlineStr">
        <is>
          <t>FE · Design · QC</t>
        </is>
      </c>
      <c r="H25" s="8" t="inlineStr">
        <is>
          <t>Khách</t>
        </is>
      </c>
      <c r="I25" s="8" t="inlineStr">
        <is>
          <t>Web</t>
        </is>
      </c>
      <c r="J25" s="8" t="inlineStr">
        <is>
          <t>1. Nhận yêu cầu · 2. Kiểm tra quyền và dữ liệu · 3. Xử lý nghiệp vụ · 4. Lưu và ghi nhật ký · 5. Trả kết quả, thông báo</t>
        </is>
      </c>
      <c r="K25" s="8" t="inlineStr">
        <is>
          <t>Dữ liệu không hợp lệ thì trả lỗi rõ ràng; lỗi hệ thống thì ghi log và cho thử lại</t>
        </is>
      </c>
      <c r="L25" s="8" t="inlineStr">
        <is>
          <t>Hành động nhạy cảm phải có nhật ký thao tác; phân quyền theo vai trò</t>
        </is>
      </c>
      <c r="M25" s="8" t="inlineStr">
        <is>
          <t>Thực hiện đúng luồng chính trên môi trường thử, xử lý đủ ngoại lệ, có kiểm thử tự động cho quy tắc chính</t>
        </is>
      </c>
      <c r="N25" s="8" t="inlineStr"/>
      <c r="O25" s="8" t="inlineStr">
        <is>
          <t>SRS 4.5; API users/me/bookings</t>
        </is>
      </c>
    </row>
    <row r="26">
      <c r="A26" s="9" t="inlineStr">
        <is>
          <t>BK</t>
        </is>
      </c>
      <c r="B26" s="9" t="inlineStr">
        <is>
          <t>Đặt tour</t>
        </is>
      </c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BK</t>
        </is>
      </c>
      <c r="B27" s="8" t="inlineStr">
        <is>
          <t>Đặt tour</t>
        </is>
      </c>
      <c r="C27" s="8" t="inlineStr">
        <is>
          <t>BK-01</t>
        </is>
      </c>
      <c r="D27" s="8" t="inlineStr">
        <is>
          <t>Đặt tour: chọn đợt, số vé người lớn/trẻ em, giữ chỗ có hạn, chống đặt trùng chỗ bằng khoá ở DB</t>
        </is>
      </c>
      <c r="E27" s="8" t="inlineStr">
        <is>
          <t>2 · Phát triển</t>
        </is>
      </c>
      <c r="F27" s="8" t="inlineStr">
        <is>
          <t>S2</t>
        </is>
      </c>
      <c r="G27" s="8" t="inlineStr">
        <is>
          <t>BE · Tech Lead · FE · Design · QC</t>
        </is>
      </c>
      <c r="H27" s="8" t="inlineStr">
        <is>
          <t>Khách</t>
        </is>
      </c>
      <c r="I27" s="8" t="inlineStr">
        <is>
          <t>Web + API</t>
        </is>
      </c>
      <c r="J27" s="8" t="inlineStr">
        <is>
          <t>1. Chọn đợt và số vé · 2. API khoá dòng departure (SELECT FOR UPDATE), kiểm tra chỗ còn · 3. Tạo booking PENDING, tăng booked_seats, đặt expires_at · 4. Trả mã booking và thông tin thanh toán</t>
        </is>
      </c>
      <c r="K27" s="8" t="inlineStr">
        <is>
          <t>Hết chỗ → 409 DEPARTURE_FULL; đợt không OPEN → 422; hai yêu cầu cùng lúc chỉ một thành công</t>
        </is>
      </c>
      <c r="L27" s="8" t="inlineStr">
        <is>
          <t>Tổng tiền = giá đợt × vé; số vé &gt; 0 và ≤ chỗ còn</t>
        </is>
      </c>
      <c r="M27" s="8" t="inlineStr">
        <is>
          <t>Test đồng thời 10 yêu cầu cho 1 chỗ cuối → đúng 1 CONFIRMED</t>
        </is>
      </c>
      <c r="N27" s="8" t="inlineStr"/>
      <c r="O27" s="8" t="inlineStr">
        <is>
          <t>SRS 4.6, 8.8; API 4.2; DB 4.11</t>
        </is>
      </c>
    </row>
    <row r="28">
      <c r="A28" s="8" t="inlineStr">
        <is>
          <t>BK</t>
        </is>
      </c>
      <c r="B28" s="8" t="inlineStr">
        <is>
          <t>Đặt tour</t>
        </is>
      </c>
      <c r="C28" s="8" t="inlineStr">
        <is>
          <t>BK-02</t>
        </is>
      </c>
      <c r="D28" s="8" t="inlineStr">
        <is>
          <t>Máy trạng thái booking và bảng chuyển trạng thái, chuyển sai trả 409</t>
        </is>
      </c>
      <c r="E28" s="8" t="inlineStr">
        <is>
          <t>2 · Phát triển</t>
        </is>
      </c>
      <c r="F28" s="8" t="inlineStr">
        <is>
          <t>S2</t>
        </is>
      </c>
      <c r="G28" s="8" t="inlineStr">
        <is>
          <t>BE · Tech Lead · QC</t>
        </is>
      </c>
      <c r="H28" s="8" t="inlineStr">
        <is>
          <t>Hệ thống</t>
        </is>
      </c>
      <c r="I28" s="8" t="inlineStr">
        <is>
          <t>API</t>
        </is>
      </c>
      <c r="J28" s="8" t="inlineStr">
        <is>
          <t>1. Nhận yêu cầu · 2. Kiểm tra quyền và dữ liệu · 3. Xử lý nghiệp vụ · 4. Lưu và ghi nhật ký · 5. Trả kết quả, thông báo</t>
        </is>
      </c>
      <c r="K28" s="8" t="inlineStr">
        <is>
          <t>Dữ liệu không hợp lệ thì trả lỗi rõ ràng; lỗi hệ thống thì ghi log và cho thử lại</t>
        </is>
      </c>
      <c r="L28" s="8" t="inlineStr">
        <is>
          <t>Hành động nhạy cảm phải có nhật ký thao tác; phân quyền theo vai trò</t>
        </is>
      </c>
      <c r="M28" s="8" t="inlineStr">
        <is>
          <t>Thực hiện đúng luồng chính trên môi trường thử, xử lý đủ ngoại lệ, có kiểm thử tự động cho quy tắc chính</t>
        </is>
      </c>
      <c r="N28" s="8" t="inlineStr"/>
      <c r="O28" s="8" t="inlineStr">
        <is>
          <t>SRS 9.3</t>
        </is>
      </c>
    </row>
    <row r="29">
      <c r="A29" s="8" t="inlineStr">
        <is>
          <t>BK</t>
        </is>
      </c>
      <c r="B29" s="8" t="inlineStr">
        <is>
          <t>Đặt tour</t>
        </is>
      </c>
      <c r="C29" s="8" t="inlineStr">
        <is>
          <t>BK-03</t>
        </is>
      </c>
      <c r="D29" s="8" t="inlineStr">
        <is>
          <t>Tự huỷ booking quá hạn thanh toán và nhả chỗ (job định kỳ)</t>
        </is>
      </c>
      <c r="E29" s="8" t="inlineStr">
        <is>
          <t>2 · Phát triển</t>
        </is>
      </c>
      <c r="F29" s="8" t="inlineStr">
        <is>
          <t>S2</t>
        </is>
      </c>
      <c r="G29" s="8" t="inlineStr">
        <is>
          <t>BE · Tech Lead · QC</t>
        </is>
      </c>
      <c r="H29" s="8" t="inlineStr">
        <is>
          <t>Hệ thống</t>
        </is>
      </c>
      <c r="I29" s="8" t="inlineStr">
        <is>
          <t>API</t>
        </is>
      </c>
      <c r="J29" s="8" t="inlineStr">
        <is>
          <t>1. Nhận yêu cầu · 2. Kiểm tra quyền và dữ liệu · 3. Xử lý nghiệp vụ · 4. Lưu và ghi nhật ký · 5. Trả kết quả, thông báo</t>
        </is>
      </c>
      <c r="K29" s="8" t="inlineStr">
        <is>
          <t>Dữ liệu không hợp lệ thì trả lỗi rõ ràng; lỗi hệ thống thì ghi log và cho thử lại</t>
        </is>
      </c>
      <c r="L29" s="8" t="inlineStr">
        <is>
          <t>Hành động nhạy cảm phải có nhật ký thao tác; phân quyền theo vai trò</t>
        </is>
      </c>
      <c r="M29" s="8" t="inlineStr">
        <is>
          <t>Thực hiện đúng luồng chính trên môi trường thử, xử lý đủ ngoại lệ, có kiểm thử tự động cho quy tắc chính</t>
        </is>
      </c>
      <c r="N29" s="8" t="inlineStr"/>
      <c r="O29" s="8" t="inlineStr">
        <is>
          <t>BS (SRS 4.7 A2 chưa định nghĩa)</t>
        </is>
      </c>
    </row>
    <row r="30">
      <c r="A30" s="9" t="inlineStr">
        <is>
          <t>CAT</t>
        </is>
      </c>
      <c r="B30" s="9" t="inlineStr">
        <is>
          <t>Danh mục</t>
        </is>
      </c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CAT</t>
        </is>
      </c>
      <c r="B31" s="8" t="inlineStr">
        <is>
          <t>Danh mục</t>
        </is>
      </c>
      <c r="C31" s="8" t="inlineStr">
        <is>
          <t>CAT-01</t>
        </is>
      </c>
      <c r="D31" s="8" t="inlineStr">
        <is>
          <t>Danh mục tour: tạo, sửa, xoá</t>
        </is>
      </c>
      <c r="E31" s="8" t="inlineStr">
        <is>
          <t>2 · Phát triển</t>
        </is>
      </c>
      <c r="F31" s="8" t="inlineStr">
        <is>
          <t>S1</t>
        </is>
      </c>
      <c r="G31" s="8" t="inlineStr">
        <is>
          <t>BE · Tech Lead · FE · Design · QC</t>
        </is>
      </c>
      <c r="H31" s="8" t="inlineStr">
        <is>
          <t>Tour Manager</t>
        </is>
      </c>
      <c r="I31" s="8" t="inlineStr">
        <is>
          <t>Web quản trị</t>
        </is>
      </c>
      <c r="J31" s="8" t="inlineStr">
        <is>
          <t>1. Nhận yêu cầu · 2. Kiểm tra quyền và dữ liệu · 3. Xử lý nghiệp vụ · 4. Lưu và ghi nhật ký · 5. Trả kết quả, thông báo</t>
        </is>
      </c>
      <c r="K31" s="8" t="inlineStr">
        <is>
          <t>Dữ liệu không hợp lệ thì trả lỗi rõ ràng; lỗi hệ thống thì ghi log và cho thử lại</t>
        </is>
      </c>
      <c r="L31" s="8" t="inlineStr">
        <is>
          <t>Hành động nhạy cảm phải có nhật ký thao tác; phân quyền theo vai trò</t>
        </is>
      </c>
      <c r="M31" s="8" t="inlineStr">
        <is>
          <t>Thực hiện đúng luồng chính trên môi trường thử, xử lý đủ ngoại lệ, có kiểm thử tự động cho quy tắc chính</t>
        </is>
      </c>
      <c r="N31" s="8" t="inlineStr"/>
      <c r="O31" s="8" t="inlineStr">
        <is>
          <t>API 4.9, DB 4.6</t>
        </is>
      </c>
    </row>
    <row r="32">
      <c r="A32" s="8" t="inlineStr">
        <is>
          <t>CAT</t>
        </is>
      </c>
      <c r="B32" s="8" t="inlineStr">
        <is>
          <t>Danh mục</t>
        </is>
      </c>
      <c r="C32" s="8" t="inlineStr">
        <is>
          <t>CAT-02</t>
        </is>
      </c>
      <c r="D32" s="8" t="inlineStr">
        <is>
          <t>Địa điểm: tạo, sửa, xoá</t>
        </is>
      </c>
      <c r="E32" s="8" t="inlineStr">
        <is>
          <t>2 · Phát triển</t>
        </is>
      </c>
      <c r="F32" s="8" t="inlineStr">
        <is>
          <t>S1</t>
        </is>
      </c>
      <c r="G32" s="8" t="inlineStr">
        <is>
          <t>BE · Tech Lead · FE · Design · QC</t>
        </is>
      </c>
      <c r="H32" s="8" t="inlineStr">
        <is>
          <t>Tour Manager</t>
        </is>
      </c>
      <c r="I32" s="8" t="inlineStr">
        <is>
          <t>Web quản trị</t>
        </is>
      </c>
      <c r="J32" s="8" t="inlineStr">
        <is>
          <t>1. Nhận yêu cầu · 2. Kiểm tra quyền và dữ liệu · 3. Xử lý nghiệp vụ · 4. Lưu và ghi nhật ký · 5. Trả kết quả, thông báo</t>
        </is>
      </c>
      <c r="K32" s="8" t="inlineStr">
        <is>
          <t>Dữ liệu không hợp lệ thì trả lỗi rõ ràng; lỗi hệ thống thì ghi log và cho thử lại</t>
        </is>
      </c>
      <c r="L32" s="8" t="inlineStr">
        <is>
          <t>Hành động nhạy cảm phải có nhật ký thao tác; phân quyền theo vai trò</t>
        </is>
      </c>
      <c r="M32" s="8" t="inlineStr">
        <is>
          <t>Thực hiện đúng luồng chính trên môi trường thử, xử lý đủ ngoại lệ, có kiểm thử tự động cho quy tắc chính</t>
        </is>
      </c>
      <c r="N32" s="8" t="inlineStr"/>
      <c r="O32" s="8" t="inlineStr">
        <is>
          <t>API 4.10, DB 4.8</t>
        </is>
      </c>
    </row>
    <row r="33">
      <c r="A33" s="9" t="inlineStr">
        <is>
          <t>CAT</t>
        </is>
      </c>
      <c r="B33" s="9" t="inlineStr">
        <is>
          <t>Tour</t>
        </is>
      </c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CAT</t>
        </is>
      </c>
      <c r="B34" s="8" t="inlineStr">
        <is>
          <t>Tour</t>
        </is>
      </c>
      <c r="C34" s="8" t="inlineStr">
        <is>
          <t>CAT-03</t>
        </is>
      </c>
      <c r="D34" s="8" t="inlineStr">
        <is>
          <t>Tour: tạo, sửa, ẩn, xoá mềm; mã tour duy nhất; không xoá khi đã có booking</t>
        </is>
      </c>
      <c r="E34" s="8" t="inlineStr">
        <is>
          <t>2 · Phát triển</t>
        </is>
      </c>
      <c r="F34" s="8" t="inlineStr">
        <is>
          <t>S1</t>
        </is>
      </c>
      <c r="G34" s="8" t="inlineStr">
        <is>
          <t>BE · Tech Lead · FE · Design · QC</t>
        </is>
      </c>
      <c r="H34" s="8" t="inlineStr">
        <is>
          <t>Tour Manager</t>
        </is>
      </c>
      <c r="I34" s="8" t="inlineStr">
        <is>
          <t>Web quản trị</t>
        </is>
      </c>
      <c r="J34" s="8" t="inlineStr">
        <is>
          <t>1. Nhập thông tin bắt buộc · 2. Kiểm tra mã tour duy nhất · 3. Lưu ở trạng thái DRAFT · 4. Đổi sang ACTIVE khi đủ thông tin</t>
        </is>
      </c>
      <c r="K34" s="8" t="inlineStr">
        <is>
          <t>Tour đã có departure/booking → chỉ cho ẩn (INACTIVE), không xoá</t>
        </is>
      </c>
      <c r="L34" s="8" t="inlineStr">
        <is>
          <t>Giá ≥ 0, số khách tối đa là số nguyên dương</t>
        </is>
      </c>
      <c r="M34" s="8" t="inlineStr">
        <is>
          <t>Tạo 3 tour mẫu, ẩn 1 tour, xoá bị chặn khi có booking</t>
        </is>
      </c>
      <c r="N34" s="8" t="inlineStr"/>
      <c r="O34" s="8" t="inlineStr">
        <is>
          <t>SRS UC-TM-01..03, 9.2; API 4.7</t>
        </is>
      </c>
    </row>
    <row r="35">
      <c r="A35" s="8" t="inlineStr">
        <is>
          <t>CAT</t>
        </is>
      </c>
      <c r="B35" s="8" t="inlineStr">
        <is>
          <t>Tour</t>
        </is>
      </c>
      <c r="C35" s="8" t="inlineStr">
        <is>
          <t>CAT-04</t>
        </is>
      </c>
      <c r="D35" s="8" t="inlineStr">
        <is>
          <t>Lịch trình tour: các địa điểm theo thứ tự</t>
        </is>
      </c>
      <c r="E35" s="8" t="inlineStr">
        <is>
          <t>2 · Phát triển</t>
        </is>
      </c>
      <c r="F35" s="8" t="inlineStr">
        <is>
          <t>S1</t>
        </is>
      </c>
      <c r="G35" s="8" t="inlineStr">
        <is>
          <t>BE · Tech Lead · FE · Design · QC</t>
        </is>
      </c>
      <c r="H35" s="8" t="inlineStr">
        <is>
          <t>Tour Manager</t>
        </is>
      </c>
      <c r="I35" s="8" t="inlineStr">
        <is>
          <t>Web quản trị</t>
        </is>
      </c>
      <c r="J35" s="8" t="inlineStr">
        <is>
          <t>1. Nhận yêu cầu · 2. Kiểm tra quyền và dữ liệu · 3. Xử lý nghiệp vụ · 4. Lưu và ghi nhật ký · 5. Trả kết quả, thông báo</t>
        </is>
      </c>
      <c r="K35" s="8" t="inlineStr">
        <is>
          <t>Dữ liệu không hợp lệ thì trả lỗi rõ ràng; lỗi hệ thống thì ghi log và cho thử lại</t>
        </is>
      </c>
      <c r="L35" s="8" t="inlineStr">
        <is>
          <t>Hành động nhạy cảm phải có nhật ký thao tác; phân quyền theo vai trò</t>
        </is>
      </c>
      <c r="M35" s="8" t="inlineStr">
        <is>
          <t>Thực hiện đúng luồng chính trên môi trường thử, xử lý đủ ngoại lệ, có kiểm thử tự động cho quy tắc chính</t>
        </is>
      </c>
      <c r="N35" s="8" t="inlineStr"/>
      <c r="O35" s="8" t="inlineStr">
        <is>
          <t>API 4.11, DB 4.9</t>
        </is>
      </c>
    </row>
    <row r="36">
      <c r="A36" s="8" t="inlineStr">
        <is>
          <t>CAT</t>
        </is>
      </c>
      <c r="B36" s="8" t="inlineStr">
        <is>
          <t>Tour</t>
        </is>
      </c>
      <c r="C36" s="8" t="inlineStr">
        <is>
          <t>CAT-05</t>
        </is>
      </c>
      <c r="D36" s="8" t="inlineStr">
        <is>
          <t>Ảnh tour: tải lên, sắp xếp, ảnh đại diện</t>
        </is>
      </c>
      <c r="E36" s="8" t="inlineStr">
        <is>
          <t>2 · Phát triển</t>
        </is>
      </c>
      <c r="F36" s="8" t="inlineStr">
        <is>
          <t>S2</t>
        </is>
      </c>
      <c r="G36" s="8" t="inlineStr">
        <is>
          <t>BE · Tech Lead · FE · Design · QC</t>
        </is>
      </c>
      <c r="H36" s="8" t="inlineStr">
        <is>
          <t>Tour Manager</t>
        </is>
      </c>
      <c r="I36" s="8" t="inlineStr">
        <is>
          <t>Web quản trị</t>
        </is>
      </c>
      <c r="J36" s="8" t="inlineStr">
        <is>
          <t>1. Nhận yêu cầu · 2. Kiểm tra quyền và dữ liệu · 3. Xử lý nghiệp vụ · 4. Lưu và ghi nhật ký · 5. Trả kết quả, thông báo</t>
        </is>
      </c>
      <c r="K36" s="8" t="inlineStr">
        <is>
          <t>Dữ liệu không hợp lệ thì trả lỗi rõ ràng; lỗi hệ thống thì ghi log và cho thử lại</t>
        </is>
      </c>
      <c r="L36" s="8" t="inlineStr">
        <is>
          <t>Hành động nhạy cảm phải có nhật ký thao tác; phân quyền theo vai trò</t>
        </is>
      </c>
      <c r="M36" s="8" t="inlineStr">
        <is>
          <t>Thực hiện đúng luồng chính trên môi trường thử, xử lý đủ ngoại lệ, có kiểm thử tự động cho quy tắc chính</t>
        </is>
      </c>
      <c r="N36" s="8" t="inlineStr"/>
      <c r="O36" s="8" t="inlineStr">
        <is>
          <t>API 4.8, DB 4.7</t>
        </is>
      </c>
    </row>
    <row r="37">
      <c r="A37" s="9" t="inlineStr">
        <is>
          <t>CAT</t>
        </is>
      </c>
      <c r="B37" s="9" t="inlineStr">
        <is>
          <t>Tìm kiếm</t>
        </is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CAT</t>
        </is>
      </c>
      <c r="B38" s="8" t="inlineStr">
        <is>
          <t>Tìm kiếm</t>
        </is>
      </c>
      <c r="C38" s="8" t="inlineStr">
        <is>
          <t>CAT-06</t>
        </is>
      </c>
      <c r="D38" s="8" t="inlineStr">
        <is>
          <t>Tìm và lọc tour theo từ khoá, danh mục, khoảng giá, ngày khởi hành; phân trang</t>
        </is>
      </c>
      <c r="E38" s="8" t="inlineStr">
        <is>
          <t>2 · Phát triển</t>
        </is>
      </c>
      <c r="F38" s="8" t="inlineStr">
        <is>
          <t>S1</t>
        </is>
      </c>
      <c r="G38" s="8" t="inlineStr">
        <is>
          <t>BE · Tech Lead · FE · Design · QC</t>
        </is>
      </c>
      <c r="H38" s="8" t="inlineStr">
        <is>
          <t>Khách</t>
        </is>
      </c>
      <c r="I38" s="8" t="inlineStr">
        <is>
          <t>Web</t>
        </is>
      </c>
      <c r="J38" s="8" t="inlineStr">
        <is>
          <t>1. Nhận yêu cầu · 2. Kiểm tra quyền và dữ liệu · 3. Xử lý nghiệp vụ · 4. Lưu và ghi nhật ký · 5. Trả kết quả, thông báo</t>
        </is>
      </c>
      <c r="K38" s="8" t="inlineStr">
        <is>
          <t>Dữ liệu không hợp lệ thì trả lỗi rõ ràng; lỗi hệ thống thì ghi log và cho thử lại</t>
        </is>
      </c>
      <c r="L38" s="8" t="inlineStr">
        <is>
          <t>Hành động nhạy cảm phải có nhật ký thao tác; phân quyền theo vai trò</t>
        </is>
      </c>
      <c r="M38" s="8" t="inlineStr">
        <is>
          <t>Thực hiện đúng luồng chính trên môi trường thử, xử lý đủ ngoại lệ, có kiểm thử tự động cho quy tắc chính</t>
        </is>
      </c>
      <c r="N38" s="8" t="inlineStr"/>
      <c r="O38" s="8" t="inlineStr">
        <is>
          <t>SRS 4.2; API 4.7</t>
        </is>
      </c>
    </row>
    <row r="39">
      <c r="A39" s="8" t="inlineStr">
        <is>
          <t>CAT</t>
        </is>
      </c>
      <c r="B39" s="8" t="inlineStr">
        <is>
          <t>Tìm kiếm</t>
        </is>
      </c>
      <c r="C39" s="8" t="inlineStr">
        <is>
          <t>CAT-07</t>
        </is>
      </c>
      <c r="D39" s="8" t="inlineStr">
        <is>
          <t>Trang chi tiết tour công khai: mô tả, lịch trình, ảnh, các đợt khởi hành còn chỗ, đánh giá</t>
        </is>
      </c>
      <c r="E39" s="8" t="inlineStr">
        <is>
          <t>2 · Phát triển</t>
        </is>
      </c>
      <c r="F39" s="8" t="inlineStr">
        <is>
          <t>S1</t>
        </is>
      </c>
      <c r="G39" s="8" t="inlineStr">
        <is>
          <t>FE · Design · QC</t>
        </is>
      </c>
      <c r="H39" s="8" t="inlineStr">
        <is>
          <t>Khách</t>
        </is>
      </c>
      <c r="I39" s="8" t="inlineStr">
        <is>
          <t>Web</t>
        </is>
      </c>
      <c r="J39" s="8" t="inlineStr">
        <is>
          <t>1. Nhận yêu cầu · 2. Kiểm tra quyền và dữ liệu · 3. Xử lý nghiệp vụ · 4. Lưu và ghi nhật ký · 5. Trả kết quả, thông báo</t>
        </is>
      </c>
      <c r="K39" s="8" t="inlineStr">
        <is>
          <t>Dữ liệu không hợp lệ thì trả lỗi rõ ràng; lỗi hệ thống thì ghi log và cho thử lại</t>
        </is>
      </c>
      <c r="L39" s="8" t="inlineStr">
        <is>
          <t>Hành động nhạy cảm phải có nhật ký thao tác; phân quyền theo vai trò</t>
        </is>
      </c>
      <c r="M39" s="8" t="inlineStr">
        <is>
          <t>Thực hiện đúng luồng chính trên môi trường thử, xử lý đủ ngoại lệ, có kiểm thử tự động cho quy tắc chính</t>
        </is>
      </c>
      <c r="N39" s="8" t="inlineStr"/>
      <c r="O39" s="8" t="inlineStr">
        <is>
          <t>SRS 4.3, 3.1.1.3</t>
        </is>
      </c>
    </row>
    <row r="40">
      <c r="A40" s="9" t="inlineStr">
        <is>
          <t>DEP</t>
        </is>
      </c>
      <c r="B40" s="9" t="inlineStr">
        <is>
          <t>Hướng dẫn viên</t>
        </is>
      </c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DEP</t>
        </is>
      </c>
      <c r="B41" s="8" t="inlineStr">
        <is>
          <t>Hướng dẫn viên</t>
        </is>
      </c>
      <c r="C41" s="8" t="inlineStr">
        <is>
          <t>DEP-03</t>
        </is>
      </c>
      <c r="D41" s="8" t="inlineStr">
        <is>
          <t>Phân công hướng dẫn viên, chặn trùng lịch</t>
        </is>
      </c>
      <c r="E41" s="8" t="inlineStr">
        <is>
          <t>2 · Phát triển</t>
        </is>
      </c>
      <c r="F41" s="8" t="inlineStr">
        <is>
          <t>S2</t>
        </is>
      </c>
      <c r="G41" s="8" t="inlineStr">
        <is>
          <t>BE · Tech Lead · QC</t>
        </is>
      </c>
      <c r="H41" s="8" t="inlineStr">
        <is>
          <t>Tour Manager</t>
        </is>
      </c>
      <c r="I41" s="8" t="inlineStr">
        <is>
          <t>Web quản trị</t>
        </is>
      </c>
      <c r="J41" s="8" t="inlineStr">
        <is>
          <t>1. Nhận yêu cầu · 2. Kiểm tra quyền và dữ liệu · 3. Xử lý nghiệp vụ · 4. Lưu và ghi nhật ký · 5. Trả kết quả, thông báo</t>
        </is>
      </c>
      <c r="K41" s="8" t="inlineStr">
        <is>
          <t>Dữ liệu không hợp lệ thì trả lỗi rõ ràng; lỗi hệ thống thì ghi log và cho thử lại</t>
        </is>
      </c>
      <c r="L41" s="8" t="inlineStr">
        <is>
          <t>Hành động nhạy cảm phải có nhật ký thao tác; phân quyền theo vai trò</t>
        </is>
      </c>
      <c r="M41" s="8" t="inlineStr">
        <is>
          <t>Thực hiện đúng luồng chính trên môi trường thử, xử lý đủ ngoại lệ, có kiểm thử tự động cho quy tắc chính</t>
        </is>
      </c>
      <c r="N41" s="8" t="inlineStr"/>
      <c r="O41" s="8" t="inlineStr">
        <is>
          <t>SRS 9.8; DB tour_guide_id</t>
        </is>
      </c>
    </row>
    <row r="42">
      <c r="A42" s="9" t="inlineStr">
        <is>
          <t>DEP</t>
        </is>
      </c>
      <c r="B42" s="9" t="inlineStr">
        <is>
          <t>Lịch khởi hành</t>
        </is>
      </c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DEP</t>
        </is>
      </c>
      <c r="B43" s="8" t="inlineStr">
        <is>
          <t>Lịch khởi hành</t>
        </is>
      </c>
      <c r="C43" s="8" t="inlineStr">
        <is>
          <t>DEP-01</t>
        </is>
      </c>
      <c r="D43" s="8" t="inlineStr">
        <is>
          <t>Đợt khởi hành: tạo, sửa, huỷ; sức chứa; giá riêng theo đợt và vé trẻ em</t>
        </is>
      </c>
      <c r="E43" s="8" t="inlineStr">
        <is>
          <t>2 · Phát triển</t>
        </is>
      </c>
      <c r="F43" s="8" t="inlineStr">
        <is>
          <t>S1</t>
        </is>
      </c>
      <c r="G43" s="8" t="inlineStr">
        <is>
          <t>BE · Tech Lead · FE · Design · QC</t>
        </is>
      </c>
      <c r="H43" s="8" t="inlineStr">
        <is>
          <t>Tour Manager</t>
        </is>
      </c>
      <c r="I43" s="8" t="inlineStr">
        <is>
          <t>Web quản trị</t>
        </is>
      </c>
      <c r="J43" s="8" t="inlineStr">
        <is>
          <t>1. Nhận yêu cầu · 2. Kiểm tra quyền và dữ liệu · 3. Xử lý nghiệp vụ · 4. Lưu và ghi nhật ký · 5. Trả kết quả, thông báo</t>
        </is>
      </c>
      <c r="K43" s="8" t="inlineStr">
        <is>
          <t>Dữ liệu không hợp lệ thì trả lỗi rõ ràng; lỗi hệ thống thì ghi log và cho thử lại</t>
        </is>
      </c>
      <c r="L43" s="8" t="inlineStr">
        <is>
          <t>Hành động nhạy cảm phải có nhật ký thao tác; phân quyền theo vai trò</t>
        </is>
      </c>
      <c r="M43" s="8" t="inlineStr">
        <is>
          <t>Thực hiện đúng luồng chính trên môi trường thử, xử lý đủ ngoại lệ, có kiểm thử tự động cho quy tắc chính</t>
        </is>
      </c>
      <c r="N43" s="8" t="inlineStr"/>
      <c r="O43" s="8" t="inlineStr">
        <is>
          <t>SRS UC-TDM-01..03; API 4.1; DB 4.10</t>
        </is>
      </c>
    </row>
    <row r="44">
      <c r="A44" s="8" t="inlineStr">
        <is>
          <t>DEP</t>
        </is>
      </c>
      <c r="B44" s="8" t="inlineStr">
        <is>
          <t>Lịch khởi hành</t>
        </is>
      </c>
      <c r="C44" s="8" t="inlineStr">
        <is>
          <t>DEP-02</t>
        </is>
      </c>
      <c r="D44" s="8" t="inlineStr">
        <is>
          <t>Trạng thái đợt: OPEN → IN_PROGRESS → COMPLETED / CANCELLED, tự chuyển theo ngày hoặc do HDV</t>
        </is>
      </c>
      <c r="E44" s="8" t="inlineStr">
        <is>
          <t>2 · Phát triển</t>
        </is>
      </c>
      <c r="F44" s="8" t="inlineStr">
        <is>
          <t>S2</t>
        </is>
      </c>
      <c r="G44" s="8" t="inlineStr">
        <is>
          <t>BE · Tech Lead · QC</t>
        </is>
      </c>
      <c r="H44" s="8" t="inlineStr">
        <is>
          <t>Hệ thống · HDV</t>
        </is>
      </c>
      <c r="I44" s="8" t="inlineStr">
        <is>
          <t>API</t>
        </is>
      </c>
      <c r="J44" s="8" t="inlineStr">
        <is>
          <t>1. Nhận yêu cầu · 2. Kiểm tra quyền và dữ liệu · 3. Xử lý nghiệp vụ · 4. Lưu và ghi nhật ký · 5. Trả kết quả, thông báo</t>
        </is>
      </c>
      <c r="K44" s="8" t="inlineStr">
        <is>
          <t>Dữ liệu không hợp lệ thì trả lỗi rõ ràng; lỗi hệ thống thì ghi log và cho thử lại</t>
        </is>
      </c>
      <c r="L44" s="8" t="inlineStr">
        <is>
          <t>Hành động nhạy cảm phải có nhật ký thao tác; phân quyền theo vai trò</t>
        </is>
      </c>
      <c r="M44" s="8" t="inlineStr">
        <is>
          <t>Thực hiện đúng luồng chính trên môi trường thử, xử lý đủ ngoại lệ, có kiểm thử tự động cho quy tắc chính</t>
        </is>
      </c>
      <c r="N44" s="8" t="inlineStr"/>
      <c r="O44" s="8" t="inlineStr">
        <is>
          <t>SRS 9.4, 5.1</t>
        </is>
      </c>
    </row>
    <row r="45">
      <c r="A45" s="8" t="inlineStr">
        <is>
          <t>DEP</t>
        </is>
      </c>
      <c r="B45" s="8" t="inlineStr">
        <is>
          <t>Lịch khởi hành</t>
        </is>
      </c>
      <c r="C45" s="8" t="inlineStr">
        <is>
          <t>DEP-04</t>
        </is>
      </c>
      <c r="D45" s="8" t="inlineStr">
        <is>
          <t>Huỷ đợt khởi hành: huỷ hàng loạt booking, hoàn tiền và thông báo</t>
        </is>
      </c>
      <c r="E45" s="8" t="inlineStr">
        <is>
          <t>2 · Phát triển</t>
        </is>
      </c>
      <c r="F45" s="8" t="inlineStr">
        <is>
          <t>S3</t>
        </is>
      </c>
      <c r="G45" s="8" t="inlineStr">
        <is>
          <t>BE · Tech Lead · QC</t>
        </is>
      </c>
      <c r="H45" s="8" t="inlineStr">
        <is>
          <t>Tour Manager</t>
        </is>
      </c>
      <c r="I45" s="8" t="inlineStr">
        <is>
          <t>API</t>
        </is>
      </c>
      <c r="J45" s="8" t="inlineStr">
        <is>
          <t>1. Nhận yêu cầu · 2. Kiểm tra quyền và dữ liệu · 3. Xử lý nghiệp vụ · 4. Lưu và ghi nhật ký · 5. Trả kết quả, thông báo</t>
        </is>
      </c>
      <c r="K45" s="8" t="inlineStr">
        <is>
          <t>Dữ liệu không hợp lệ thì trả lỗi rõ ràng; lỗi hệ thống thì ghi log và cho thử lại</t>
        </is>
      </c>
      <c r="L45" s="8" t="inlineStr">
        <is>
          <t>Hành động nhạy cảm phải có nhật ký thao tác; phân quyền theo vai trò</t>
        </is>
      </c>
      <c r="M45" s="8" t="inlineStr">
        <is>
          <t>Thực hiện đúng luồng chính trên môi trường thử, xử lý đủ ngoại lệ, có kiểm thử tự động cho quy tắc chính</t>
        </is>
      </c>
      <c r="N45" s="8" t="inlineStr"/>
      <c r="O45" s="8" t="inlineStr">
        <is>
          <t>BS (SRS thiếu luồng)</t>
        </is>
      </c>
    </row>
    <row r="46">
      <c r="A46" s="9" t="inlineStr">
        <is>
          <t>GUIDE</t>
        </is>
      </c>
      <c r="B46" s="9" t="inlineStr">
        <is>
          <t>Hướng dẫn viên</t>
        </is>
      </c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GUIDE</t>
        </is>
      </c>
      <c r="B47" s="8" t="inlineStr">
        <is>
          <t>Hướng dẫn viên</t>
        </is>
      </c>
      <c r="C47" s="8" t="inlineStr">
        <is>
          <t>GDE-01</t>
        </is>
      </c>
      <c r="D47" s="8" t="inlineStr">
        <is>
          <t>HDV xem các đợt được phân công và danh sách khách</t>
        </is>
      </c>
      <c r="E47" s="8" t="inlineStr">
        <is>
          <t>2 · Phát triển</t>
        </is>
      </c>
      <c r="F47" s="8" t="inlineStr">
        <is>
          <t>S2</t>
        </is>
      </c>
      <c r="G47" s="8" t="inlineStr">
        <is>
          <t>BE · Tech Lead · FE · Design · QC</t>
        </is>
      </c>
      <c r="H47" s="8" t="inlineStr">
        <is>
          <t>Tour Guide</t>
        </is>
      </c>
      <c r="I47" s="8" t="inlineStr">
        <is>
          <t>Web</t>
        </is>
      </c>
      <c r="J47" s="8" t="inlineStr">
        <is>
          <t>1. Nhận yêu cầu · 2. Kiểm tra quyền và dữ liệu · 3. Xử lý nghiệp vụ · 4. Lưu và ghi nhật ký · 5. Trả kết quả, thông báo</t>
        </is>
      </c>
      <c r="K47" s="8" t="inlineStr">
        <is>
          <t>Dữ liệu không hợp lệ thì trả lỗi rõ ràng; lỗi hệ thống thì ghi log và cho thử lại</t>
        </is>
      </c>
      <c r="L47" s="8" t="inlineStr">
        <is>
          <t>Hành động nhạy cảm phải có nhật ký thao tác; phân quyền theo vai trò</t>
        </is>
      </c>
      <c r="M47" s="8" t="inlineStr">
        <is>
          <t>Thực hiện đúng luồng chính trên môi trường thử, xử lý đủ ngoại lệ, có kiểm thử tự động cho quy tắc chính</t>
        </is>
      </c>
      <c r="N47" s="8" t="inlineStr"/>
      <c r="O47" s="8" t="inlineStr">
        <is>
          <t>SRS 3.1.3.1</t>
        </is>
      </c>
    </row>
    <row r="48">
      <c r="A48" s="8" t="inlineStr">
        <is>
          <t>GUIDE</t>
        </is>
      </c>
      <c r="B48" s="8" t="inlineStr">
        <is>
          <t>Hướng dẫn viên</t>
        </is>
      </c>
      <c r="C48" s="8" t="inlineStr">
        <is>
          <t>GDE-02</t>
        </is>
      </c>
      <c r="D48" s="8" t="inlineStr">
        <is>
          <t>HDV cập nhật trạng thái đợt, kết thúc tour để mở đánh giá</t>
        </is>
      </c>
      <c r="E48" s="8" t="inlineStr">
        <is>
          <t>2 · Phát triển</t>
        </is>
      </c>
      <c r="F48" s="8" t="inlineStr">
        <is>
          <t>S2</t>
        </is>
      </c>
      <c r="G48" s="8" t="inlineStr">
        <is>
          <t>BE · Tech Lead · FE · Design · QC</t>
        </is>
      </c>
      <c r="H48" s="8" t="inlineStr">
        <is>
          <t>Tour Guide</t>
        </is>
      </c>
      <c r="I48" s="8" t="inlineStr">
        <is>
          <t>Web + API</t>
        </is>
      </c>
      <c r="J48" s="8" t="inlineStr">
        <is>
          <t>1. Nhận yêu cầu · 2. Kiểm tra quyền và dữ liệu · 3. Xử lý nghiệp vụ · 4. Lưu và ghi nhật ký · 5. Trả kết quả, thông báo</t>
        </is>
      </c>
      <c r="K48" s="8" t="inlineStr">
        <is>
          <t>Dữ liệu không hợp lệ thì trả lỗi rõ ràng; lỗi hệ thống thì ghi log và cho thử lại</t>
        </is>
      </c>
      <c r="L48" s="8" t="inlineStr">
        <is>
          <t>Hành động nhạy cảm phải có nhật ký thao tác; phân quyền theo vai trò</t>
        </is>
      </c>
      <c r="M48" s="8" t="inlineStr">
        <is>
          <t>Thực hiện đúng luồng chính trên môi trường thử, xử lý đủ ngoại lệ, có kiểm thử tự động cho quy tắc chính</t>
        </is>
      </c>
      <c r="N48" s="8" t="inlineStr"/>
      <c r="O48" s="8" t="inlineStr">
        <is>
          <t>SRS 3.1.3.2, 5.1</t>
        </is>
      </c>
    </row>
    <row r="49">
      <c r="A49" s="9" t="inlineStr">
        <is>
          <t>NTF</t>
        </is>
      </c>
      <c r="B49" s="9" t="inlineStr">
        <is>
          <t>Thông báo</t>
        </is>
      </c>
      <c r="C49" s="9" t="inlineStr"/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NTF</t>
        </is>
      </c>
      <c r="B50" s="8" t="inlineStr">
        <is>
          <t>Thông báo</t>
        </is>
      </c>
      <c r="C50" s="8" t="inlineStr">
        <is>
          <t>NTF-01</t>
        </is>
      </c>
      <c r="D50" s="8" t="inlineStr">
        <is>
          <t>Thông báo trong ứng dụng theo sự kiện booking, thanh toán, lịch</t>
        </is>
      </c>
      <c r="E50" s="8" t="inlineStr">
        <is>
          <t>2 · Phát triển</t>
        </is>
      </c>
      <c r="F50" s="8" t="inlineStr">
        <is>
          <t>S3</t>
        </is>
      </c>
      <c r="G50" s="8" t="inlineStr">
        <is>
          <t>BE · Tech Lead · FE · Design · QC</t>
        </is>
      </c>
      <c r="H50" s="8" t="inlineStr">
        <is>
          <t>Khách</t>
        </is>
      </c>
      <c r="I50" s="8" t="inlineStr">
        <is>
          <t>Web + API</t>
        </is>
      </c>
      <c r="J50" s="8" t="inlineStr">
        <is>
          <t>1. Nhận yêu cầu · 2. Kiểm tra quyền và dữ liệu · 3. Xử lý nghiệp vụ · 4. Lưu và ghi nhật ký · 5. Trả kết quả, thông báo</t>
        </is>
      </c>
      <c r="K50" s="8" t="inlineStr">
        <is>
          <t>Dữ liệu không hợp lệ thì trả lỗi rõ ràng; lỗi hệ thống thì ghi log và cho thử lại</t>
        </is>
      </c>
      <c r="L50" s="8" t="inlineStr">
        <is>
          <t>Hành động nhạy cảm phải có nhật ký thao tác; phân quyền theo vai trò</t>
        </is>
      </c>
      <c r="M50" s="8" t="inlineStr">
        <is>
          <t>Thực hiện đúng luồng chính trên môi trường thử, xử lý đủ ngoại lệ, có kiểm thử tự động cho quy tắc chính</t>
        </is>
      </c>
      <c r="N50" s="8" t="inlineStr"/>
      <c r="O50" s="8" t="inlineStr">
        <is>
          <t>SRS 9.9; API 4.6; DB 4.15</t>
        </is>
      </c>
    </row>
    <row r="51">
      <c r="A51" s="8" t="inlineStr">
        <is>
          <t>NTF</t>
        </is>
      </c>
      <c r="B51" s="8" t="inlineStr">
        <is>
          <t>Thông báo</t>
        </is>
      </c>
      <c r="C51" s="8" t="inlineStr">
        <is>
          <t>NTF-02</t>
        </is>
      </c>
      <c r="D51" s="8" t="inlineStr">
        <is>
          <t>Email giao dịch: xác nhận đặt, thanh toán, huỷ</t>
        </is>
      </c>
      <c r="E51" s="8" t="inlineStr">
        <is>
          <t>2 · Phát triển</t>
        </is>
      </c>
      <c r="F51" s="8" t="inlineStr">
        <is>
          <t>S3</t>
        </is>
      </c>
      <c r="G51" s="8" t="inlineStr">
        <is>
          <t>BE · Tech Lead · QC</t>
        </is>
      </c>
      <c r="H51" s="8" t="inlineStr">
        <is>
          <t>Hệ thống</t>
        </is>
      </c>
      <c r="I51" s="8" t="inlineStr">
        <is>
          <t>API</t>
        </is>
      </c>
      <c r="J51" s="8" t="inlineStr">
        <is>
          <t>1. Nhận yêu cầu · 2. Kiểm tra quyền và dữ liệu · 3. Xử lý nghiệp vụ · 4. Lưu và ghi nhật ký · 5. Trả kết quả, thông báo</t>
        </is>
      </c>
      <c r="K51" s="8" t="inlineStr">
        <is>
          <t>Dữ liệu không hợp lệ thì trả lỗi rõ ràng; lỗi hệ thống thì ghi log và cho thử lại</t>
        </is>
      </c>
      <c r="L51" s="8" t="inlineStr">
        <is>
          <t>Hành động nhạy cảm phải có nhật ký thao tác; phân quyền theo vai trò</t>
        </is>
      </c>
      <c r="M51" s="8" t="inlineStr">
        <is>
          <t>Thực hiện đúng luồng chính trên môi trường thử, xử lý đủ ngoại lệ, có kiểm thử tự động cho quy tắc chính</t>
        </is>
      </c>
      <c r="N51" s="8" t="inlineStr"/>
      <c r="O51" s="8" t="inlineStr">
        <is>
          <t>BS (SRS không nêu kênh)</t>
        </is>
      </c>
    </row>
    <row r="52">
      <c r="A52" s="9" t="inlineStr">
        <is>
          <t>NỀN</t>
        </is>
      </c>
      <c r="B52" s="9" t="inlineStr">
        <is>
          <t>Chất lượng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NỀN</t>
        </is>
      </c>
      <c r="B53" s="8" t="inlineStr">
        <is>
          <t>Chất lượng</t>
        </is>
      </c>
      <c r="C53" s="8" t="inlineStr">
        <is>
          <t>QA-01</t>
        </is>
      </c>
      <c r="D53" s="8" t="inlineStr">
        <is>
          <t>Kiểm thử nghiệm thu luồng chính, sửa lỗi, chụp màn hình và chuẩn bị demo</t>
        </is>
      </c>
      <c r="E53" s="8" t="inlineStr">
        <is>
          <t>3 · Kiểm thử và demo</t>
        </is>
      </c>
      <c r="F53" s="8" t="inlineStr"/>
      <c r="G53" s="8" t="inlineStr">
        <is>
          <t>PM · DevOps · QC</t>
        </is>
      </c>
      <c r="H53" s="8" t="inlineStr">
        <is>
          <t>Mentor</t>
        </is>
      </c>
      <c r="I53" s="8" t="inlineStr">
        <is>
          <t>Toàn hệ thống</t>
        </is>
      </c>
      <c r="J53" s="8" t="inlineStr">
        <is>
          <t>1. Nhận yêu cầu · 2. Kiểm tra quyền và dữ liệu · 3. Xử lý nghiệp vụ · 4. Lưu và ghi nhật ký · 5. Trả kết quả, thông báo</t>
        </is>
      </c>
      <c r="K53" s="8" t="inlineStr">
        <is>
          <t>Dữ liệu không hợp lệ thì trả lỗi rõ ràng; lỗi hệ thống thì ghi log và cho thử lại</t>
        </is>
      </c>
      <c r="L53" s="8" t="inlineStr">
        <is>
          <t>Hành động nhạy cảm phải có nhật ký thao tác; phân quyền theo vai trò</t>
        </is>
      </c>
      <c r="M53" s="8" t="inlineStr">
        <is>
          <t>Thực hiện đúng luồng chính trên môi trường thử, xử lý đủ ngoại lệ, có kiểm thử tự động cho quy tắc chính</t>
        </is>
      </c>
      <c r="N53" s="8" t="inlineStr"/>
      <c r="O53" s="8" t="inlineStr">
        <is>
          <t>Kế hoạch khoá T11–T12</t>
        </is>
      </c>
    </row>
    <row r="54">
      <c r="A54" s="8" t="inlineStr">
        <is>
          <t>NỀN</t>
        </is>
      </c>
      <c r="B54" s="8" t="inlineStr">
        <is>
          <t>Chất lượng</t>
        </is>
      </c>
      <c r="C54" s="8" t="inlineStr">
        <is>
          <t>SYS-04</t>
        </is>
      </c>
      <c r="D54" s="8" t="inlineStr">
        <is>
          <t>CI: build, test tự động ba tầng (JUnit + Testcontainers, Vitest, Playwright)</t>
        </is>
      </c>
      <c r="E54" s="8" t="inlineStr">
        <is>
          <t>2 · Phát triển</t>
        </is>
      </c>
      <c r="F54" s="8" t="inlineStr">
        <is>
          <t>S1</t>
        </is>
      </c>
      <c r="G54" s="8" t="inlineStr">
        <is>
          <t>DevOps · Tech Lead · BE · QC</t>
        </is>
      </c>
      <c r="H54" s="8" t="inlineStr">
        <is>
          <t>Mentor</t>
        </is>
      </c>
      <c r="I54" s="8" t="inlineStr">
        <is>
          <t>Hạ tầng</t>
        </is>
      </c>
      <c r="J54" s="8" t="inlineStr">
        <is>
          <t>1. Nhận yêu cầu · 2. Kiểm tra quyền và dữ liệu · 3. Xử lý nghiệp vụ · 4. Lưu và ghi nhật ký · 5. Trả kết quả, thông báo</t>
        </is>
      </c>
      <c r="K54" s="8" t="inlineStr">
        <is>
          <t>Dữ liệu không hợp lệ thì trả lỗi rõ ràng; lỗi hệ thống thì ghi log và cho thử lại</t>
        </is>
      </c>
      <c r="L54" s="8" t="inlineStr">
        <is>
          <t>Hành động nhạy cảm phải có nhật ký thao tác; phân quyền theo vai trò</t>
        </is>
      </c>
      <c r="M54" s="8" t="inlineStr">
        <is>
          <t>Thực hiện đúng luồng chính trên môi trường thử, xử lý đủ ngoại lệ, có kiểm thử tự động cho quy tắc chính</t>
        </is>
      </c>
      <c r="N54" s="8" t="inlineStr"/>
      <c r="O54" s="8" t="inlineStr">
        <is>
          <t>FE structure §Testing</t>
        </is>
      </c>
    </row>
    <row r="55">
      <c r="A55" s="9" t="inlineStr">
        <is>
          <t>NỀN</t>
        </is>
      </c>
      <c r="B55" s="9" t="inlineStr">
        <is>
          <t>Nền tảng</t>
        </is>
      </c>
      <c r="C55" s="9" t="inlineStr"/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NỀN</t>
        </is>
      </c>
      <c r="B56" s="8" t="inlineStr">
        <is>
          <t>Nền tảng</t>
        </is>
      </c>
      <c r="C56" s="8" t="inlineStr">
        <is>
          <t>SYS-01</t>
        </is>
      </c>
      <c r="D56" s="8" t="inlineStr">
        <is>
          <t>Khởi tạo dự án backend, frontend, Docker Compose và migration Flyway đầu tiên</t>
        </is>
      </c>
      <c r="E56" s="8" t="inlineStr">
        <is>
          <t>1 · UX/UI và nền tảng kỹ thuật</t>
        </is>
      </c>
      <c r="F56" s="8" t="inlineStr"/>
      <c r="G56" s="8" t="inlineStr">
        <is>
          <t>DevOps · Tech Lead · BE · QC</t>
        </is>
      </c>
      <c r="H56" s="8" t="inlineStr">
        <is>
          <t>Mentor</t>
        </is>
      </c>
      <c r="I56" s="8" t="inlineStr">
        <is>
          <t>Hạ tầng</t>
        </is>
      </c>
      <c r="J56" s="8" t="inlineStr">
        <is>
          <t>1. Tạo skeleton Spring Boot và Next.js theo cấu trúc intern · 2. docker-compose: mysql, backend, frontend · 3. Flyway V1__init_schema từ DB Design v1.1 · 4. Healthcheck và biến môi trường</t>
        </is>
      </c>
      <c r="K56" s="8" t="inlineStr">
        <is>
          <t>Cổng bận hoặc thiếu biến môi trường thì compose báo lỗi rõ ràng</t>
        </is>
      </c>
      <c r="L56" s="8" t="inlineStr">
        <is>
          <t>Không sửa schema bằng tay; mọi thay đổi qua migration</t>
        </is>
      </c>
      <c r="M56" s="8" t="inlineStr">
        <is>
          <t>docker compose up xanh, Swagger mở được, FE hiện trang chủ</t>
        </is>
      </c>
      <c r="N56" s="8" t="inlineStr"/>
      <c r="O56" s="8" t="inlineStr">
        <is>
          <t>Arch 1.5, BE structure</t>
        </is>
      </c>
    </row>
    <row r="57">
      <c r="A57" s="8" t="inlineStr">
        <is>
          <t>NỀN</t>
        </is>
      </c>
      <c r="B57" s="8" t="inlineStr">
        <is>
          <t>Nền tảng</t>
        </is>
      </c>
      <c r="C57" s="8" t="inlineStr">
        <is>
          <t>SYS-02</t>
        </is>
      </c>
      <c r="D57" s="8" t="inlineStr">
        <is>
          <t>Khung API chuẩn: ApiResponse, mã lỗi, validation, requestId, Swagger</t>
        </is>
      </c>
      <c r="E57" s="8" t="inlineStr">
        <is>
          <t>1 · UX/UI và nền tảng kỹ thuật</t>
        </is>
      </c>
      <c r="F57" s="8" t="inlineStr"/>
      <c r="G57" s="8" t="inlineStr">
        <is>
          <t>BE · Tech Lead · QC</t>
        </is>
      </c>
      <c r="H57" s="8" t="inlineStr">
        <is>
          <t>Mentor</t>
        </is>
      </c>
      <c r="I57" s="8" t="inlineStr">
        <is>
          <t>API</t>
        </is>
      </c>
      <c r="J57" s="8" t="inlineStr">
        <is>
          <t>1. Nhận yêu cầu · 2. Kiểm tra quyền và dữ liệu · 3. Xử lý nghiệp vụ · 4. Lưu và ghi nhật ký · 5. Trả kết quả, thông báo</t>
        </is>
      </c>
      <c r="K57" s="8" t="inlineStr">
        <is>
          <t>Dữ liệu không hợp lệ thì trả lỗi rõ ràng; lỗi hệ thống thì ghi log và cho thử lại</t>
        </is>
      </c>
      <c r="L57" s="8" t="inlineStr">
        <is>
          <t>Hành động nhạy cảm phải có nhật ký thao tác; phân quyền theo vai trò</t>
        </is>
      </c>
      <c r="M57" s="8" t="inlineStr">
        <is>
          <t>Thực hiện đúng luồng chính trên môi trường thử, xử lý đủ ngoại lệ, có kiểm thử tự động cho quy tắc chính</t>
        </is>
      </c>
      <c r="N57" s="8" t="inlineStr"/>
      <c r="O57" s="8" t="inlineStr">
        <is>
          <t>API doc §2–3, §6, §8</t>
        </is>
      </c>
    </row>
    <row r="58">
      <c r="A58" s="8" t="inlineStr">
        <is>
          <t>NỀN</t>
        </is>
      </c>
      <c r="B58" s="8" t="inlineStr">
        <is>
          <t>Nền tảng</t>
        </is>
      </c>
      <c r="C58" s="8" t="inlineStr">
        <is>
          <t>SYS-06</t>
        </is>
      </c>
      <c r="D58" s="8" t="inlineStr">
        <is>
          <t>Lưu ảnh qua adapter: cục bộ mặc định, Cloudflare R2 khi có khoá</t>
        </is>
      </c>
      <c r="E58" s="8" t="inlineStr">
        <is>
          <t>2 · Phát triển</t>
        </is>
      </c>
      <c r="F58" s="8" t="inlineStr">
        <is>
          <t>S2</t>
        </is>
      </c>
      <c r="G58" s="8" t="inlineStr">
        <is>
          <t>BE · Tech Lead · QC</t>
        </is>
      </c>
      <c r="H58" s="8" t="inlineStr">
        <is>
          <t>Mentor</t>
        </is>
      </c>
      <c r="I58" s="8" t="inlineStr">
        <is>
          <t>API</t>
        </is>
      </c>
      <c r="J58" s="8" t="inlineStr">
        <is>
          <t>1. Nhận yêu cầu · 2. Kiểm tra quyền và dữ liệu · 3. Xử lý nghiệp vụ · 4. Lưu và ghi nhật ký · 5. Trả kết quả, thông báo</t>
        </is>
      </c>
      <c r="K58" s="8" t="inlineStr">
        <is>
          <t>Dữ liệu không hợp lệ thì trả lỗi rõ ràng; lỗi hệ thống thì ghi log và cho thử lại</t>
        </is>
      </c>
      <c r="L58" s="8" t="inlineStr">
        <is>
          <t>Hành động nhạy cảm phải có nhật ký thao tác; phân quyền theo vai trò</t>
        </is>
      </c>
      <c r="M58" s="8" t="inlineStr">
        <is>
          <t>Thực hiện đúng luồng chính trên môi trường thử, xử lý đủ ngoại lệ, có kiểm thử tự động cho quy tắc chính</t>
        </is>
      </c>
      <c r="N58" s="8" t="inlineStr"/>
      <c r="O58" s="8" t="inlineStr">
        <is>
          <t>BE structure (R2)</t>
        </is>
      </c>
    </row>
    <row r="59">
      <c r="A59" s="9" t="inlineStr">
        <is>
          <t>NỀN</t>
        </is>
      </c>
      <c r="B59" s="9" t="inlineStr">
        <is>
          <t>Tài liệu</t>
        </is>
      </c>
      <c r="C59" s="9" t="inlineStr"/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NỀN</t>
        </is>
      </c>
      <c r="B60" s="8" t="inlineStr">
        <is>
          <t>Tài liệu</t>
        </is>
      </c>
      <c r="C60" s="8" t="inlineStr">
        <is>
          <t>QA-02</t>
        </is>
      </c>
      <c r="D60" s="8" t="inlineStr">
        <is>
          <t>Tài liệu bàn giao: runbook demo, tài khoản mẫu, bảng so sánh mentor – intern</t>
        </is>
      </c>
      <c r="E60" s="8" t="inlineStr">
        <is>
          <t>3 · Kiểm thử và demo</t>
        </is>
      </c>
      <c r="F60" s="8" t="inlineStr"/>
      <c r="G60" s="8" t="inlineStr">
        <is>
          <t>BA · PM</t>
        </is>
      </c>
      <c r="H60" s="8" t="inlineStr">
        <is>
          <t>Mentor</t>
        </is>
      </c>
      <c r="I60" s="8" t="inlineStr">
        <is>
          <t>Tài liệu</t>
        </is>
      </c>
      <c r="J60" s="8" t="inlineStr">
        <is>
          <t>1. Nhận yêu cầu · 2. Kiểm tra quyền và dữ liệu · 3. Xử lý nghiệp vụ · 4. Lưu và ghi nhật ký · 5. Trả kết quả, thông báo</t>
        </is>
      </c>
      <c r="K60" s="8" t="inlineStr">
        <is>
          <t>Dữ liệu không hợp lệ thì trả lỗi rõ ràng; lỗi hệ thống thì ghi log và cho thử lại</t>
        </is>
      </c>
      <c r="L60" s="8" t="inlineStr">
        <is>
          <t>Hành động nhạy cảm phải có nhật ký thao tác; phân quyền theo vai trò</t>
        </is>
      </c>
      <c r="M60" s="8" t="inlineStr">
        <is>
          <t>Thực hiện đúng luồng chính trên môi trường thử, xử lý đủ ngoại lệ, có kiểm thử tự động cho quy tắc chính</t>
        </is>
      </c>
      <c r="N60" s="8" t="inlineStr"/>
      <c r="O60" s="8" t="inlineStr">
        <is>
          <t>Handover T1 §5</t>
        </is>
      </c>
    </row>
    <row r="61">
      <c r="A61" s="9" t="inlineStr">
        <is>
          <t>NỀN</t>
        </is>
      </c>
      <c r="B61" s="9" t="inlineStr">
        <is>
          <t>Vận hành</t>
        </is>
      </c>
      <c r="C61" s="9" t="inlineStr"/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NỀN</t>
        </is>
      </c>
      <c r="B62" s="8" t="inlineStr">
        <is>
          <t>Vận hành</t>
        </is>
      </c>
      <c r="C62" s="8" t="inlineStr">
        <is>
          <t>SYS-03</t>
        </is>
      </c>
      <c r="D62" s="8" t="inlineStr">
        <is>
          <t>Nhật ký kiểm toán (audit log) và nhật ký bảo mật</t>
        </is>
      </c>
      <c r="E62" s="8" t="inlineStr">
        <is>
          <t>2 · Phát triển</t>
        </is>
      </c>
      <c r="F62" s="8" t="inlineStr">
        <is>
          <t>S3</t>
        </is>
      </c>
      <c r="G62" s="8" t="inlineStr">
        <is>
          <t>BE · Tech Lead · QC</t>
        </is>
      </c>
      <c r="H62" s="8" t="inlineStr">
        <is>
          <t>Admin</t>
        </is>
      </c>
      <c r="I62" s="8" t="inlineStr">
        <is>
          <t>API</t>
        </is>
      </c>
      <c r="J62" s="8" t="inlineStr">
        <is>
          <t>1. Nhận yêu cầu · 2. Kiểm tra quyền và dữ liệu · 3. Xử lý nghiệp vụ · 4. Lưu và ghi nhật ký · 5. Trả kết quả, thông báo</t>
        </is>
      </c>
      <c r="K62" s="8" t="inlineStr">
        <is>
          <t>Dữ liệu không hợp lệ thì trả lỗi rõ ràng; lỗi hệ thống thì ghi log và cho thử lại</t>
        </is>
      </c>
      <c r="L62" s="8" t="inlineStr">
        <is>
          <t>Hành động nhạy cảm phải có nhật ký thao tác; phân quyền theo vai trò</t>
        </is>
      </c>
      <c r="M62" s="8" t="inlineStr">
        <is>
          <t>Thực hiện đúng luồng chính trên môi trường thử, xử lý đủ ngoại lệ, có kiểm thử tự động cho quy tắc chính</t>
        </is>
      </c>
      <c r="N62" s="8" t="inlineStr"/>
      <c r="O62" s="8" t="inlineStr">
        <is>
          <t>SRS 9.10, DB 4.16</t>
        </is>
      </c>
    </row>
    <row r="63">
      <c r="A63" s="8" t="inlineStr">
        <is>
          <t>NỀN</t>
        </is>
      </c>
      <c r="B63" s="8" t="inlineStr">
        <is>
          <t>Vận hành</t>
        </is>
      </c>
      <c r="C63" s="8" t="inlineStr">
        <is>
          <t>SYS-05</t>
        </is>
      </c>
      <c r="D63" s="8" t="inlineStr">
        <is>
          <t>Sao lưu và phục hồi dữ liệu</t>
        </is>
      </c>
      <c r="E63" s="8" t="inlineStr">
        <is>
          <t>3 · Kiểm thử và demo</t>
        </is>
      </c>
      <c r="F63" s="8" t="inlineStr"/>
      <c r="G63" s="8" t="inlineStr">
        <is>
          <t>PM · DevOps · QC</t>
        </is>
      </c>
      <c r="H63" s="8" t="inlineStr">
        <is>
          <t>Admin</t>
        </is>
      </c>
      <c r="I63" s="8" t="inlineStr">
        <is>
          <t>Hạ tầng</t>
        </is>
      </c>
      <c r="J63" s="8" t="inlineStr">
        <is>
          <t>1. Nhận yêu cầu · 2. Kiểm tra quyền và dữ liệu · 3. Xử lý nghiệp vụ · 4. Lưu và ghi nhật ký · 5. Trả kết quả, thông báo</t>
        </is>
      </c>
      <c r="K63" s="8" t="inlineStr">
        <is>
          <t>Dữ liệu không hợp lệ thì trả lỗi rõ ràng; lỗi hệ thống thì ghi log và cho thử lại</t>
        </is>
      </c>
      <c r="L63" s="8" t="inlineStr">
        <is>
          <t>Hành động nhạy cảm phải có nhật ký thao tác; phân quyền theo vai trò</t>
        </is>
      </c>
      <c r="M63" s="8" t="inlineStr">
        <is>
          <t>Thực hiện đúng luồng chính trên môi trường thử, xử lý đủ ngoại lệ, có kiểm thử tự động cho quy tắc chính</t>
        </is>
      </c>
      <c r="N63" s="8" t="inlineStr"/>
      <c r="O63" s="8" t="inlineStr">
        <is>
          <t>SRS 7.6, 8.4</t>
        </is>
      </c>
    </row>
    <row r="64">
      <c r="A64" s="9" t="inlineStr">
        <is>
          <t>PAY</t>
        </is>
      </c>
      <c r="B64" s="9" t="inlineStr">
        <is>
          <t>Hoá đơn</t>
        </is>
      </c>
      <c r="C64" s="9" t="inlineStr"/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PAY</t>
        </is>
      </c>
      <c r="B65" s="8" t="inlineStr">
        <is>
          <t>Hoá đơn</t>
        </is>
      </c>
      <c r="C65" s="8" t="inlineStr">
        <is>
          <t>PAY-04</t>
        </is>
      </c>
      <c r="D65" s="8" t="inlineStr">
        <is>
          <t>Hoá đơn sinh khi thanh toán thành công; khách và admin xem</t>
        </is>
      </c>
      <c r="E65" s="8" t="inlineStr">
        <is>
          <t>2 · Phát triển</t>
        </is>
      </c>
      <c r="F65" s="8" t="inlineStr">
        <is>
          <t>S3</t>
        </is>
      </c>
      <c r="G65" s="8" t="inlineStr">
        <is>
          <t>BE · Tech Lead · FE · Design · QC</t>
        </is>
      </c>
      <c r="H65" s="8" t="inlineStr">
        <is>
          <t>Khách · Admin</t>
        </is>
      </c>
      <c r="I65" s="8" t="inlineStr">
        <is>
          <t>Web</t>
        </is>
      </c>
      <c r="J65" s="8" t="inlineStr">
        <is>
          <t>1. Nhận yêu cầu · 2. Kiểm tra quyền và dữ liệu · 3. Xử lý nghiệp vụ · 4. Lưu và ghi nhật ký · 5. Trả kết quả, thông báo</t>
        </is>
      </c>
      <c r="K65" s="8" t="inlineStr">
        <is>
          <t>Dữ liệu không hợp lệ thì trả lỗi rõ ràng; lỗi hệ thống thì ghi log và cho thử lại</t>
        </is>
      </c>
      <c r="L65" s="8" t="inlineStr">
        <is>
          <t>Hành động nhạy cảm phải có nhật ký thao tác; phân quyền theo vai trò</t>
        </is>
      </c>
      <c r="M65" s="8" t="inlineStr">
        <is>
          <t>Thực hiện đúng luồng chính trên môi trường thử, xử lý đủ ngoại lệ, có kiểm thử tự động cho quy tắc chính</t>
        </is>
      </c>
      <c r="N65" s="8" t="inlineStr"/>
      <c r="O65" s="8" t="inlineStr">
        <is>
          <t>API 4.4; DB 4.13</t>
        </is>
      </c>
    </row>
    <row r="66">
      <c r="A66" s="9" t="inlineStr">
        <is>
          <t>PAY</t>
        </is>
      </c>
      <c r="B66" s="9" t="inlineStr">
        <is>
          <t>Quản lý thanh toán</t>
        </is>
      </c>
      <c r="C66" s="9" t="inlineStr"/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PAY</t>
        </is>
      </c>
      <c r="B67" s="8" t="inlineStr">
        <is>
          <t>Quản lý thanh toán</t>
        </is>
      </c>
      <c r="C67" s="8" t="inlineStr">
        <is>
          <t>PAY-03</t>
        </is>
      </c>
      <c r="D67" s="8" t="inlineStr">
        <is>
          <t>Quản lý thanh toán: danh sách, xác minh thủ công, huỷ, hoàn tiền</t>
        </is>
      </c>
      <c r="E67" s="8" t="inlineStr">
        <is>
          <t>2 · Phát triển</t>
        </is>
      </c>
      <c r="F67" s="8" t="inlineStr">
        <is>
          <t>S3</t>
        </is>
      </c>
      <c r="G67" s="8" t="inlineStr">
        <is>
          <t>BE · Tech Lead · FE · Design · QC</t>
        </is>
      </c>
      <c r="H67" s="8" t="inlineStr">
        <is>
          <t>Admin</t>
        </is>
      </c>
      <c r="I67" s="8" t="inlineStr">
        <is>
          <t>Web quản trị</t>
        </is>
      </c>
      <c r="J67" s="8" t="inlineStr">
        <is>
          <t>1. Nhận yêu cầu · 2. Kiểm tra quyền và dữ liệu · 3. Xử lý nghiệp vụ · 4. Lưu và ghi nhật ký · 5. Trả kết quả, thông báo</t>
        </is>
      </c>
      <c r="K67" s="8" t="inlineStr">
        <is>
          <t>Dữ liệu không hợp lệ thì trả lỗi rõ ràng; lỗi hệ thống thì ghi log và cho thử lại</t>
        </is>
      </c>
      <c r="L67" s="8" t="inlineStr">
        <is>
          <t>Hành động nhạy cảm phải có nhật ký thao tác; phân quyền theo vai trò</t>
        </is>
      </c>
      <c r="M67" s="8" t="inlineStr">
        <is>
          <t>Thực hiện đúng luồng chính trên môi trường thử, xử lý đủ ngoại lệ, có kiểm thử tự động cho quy tắc chính</t>
        </is>
      </c>
      <c r="N67" s="8" t="inlineStr"/>
      <c r="O67" s="8" t="inlineStr">
        <is>
          <t>SRS 7.7; API 4.3</t>
        </is>
      </c>
    </row>
    <row r="68">
      <c r="A68" s="9" t="inlineStr">
        <is>
          <t>PAY</t>
        </is>
      </c>
      <c r="B68" s="9" t="inlineStr">
        <is>
          <t>Thanh toán</t>
        </is>
      </c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PAY</t>
        </is>
      </c>
      <c r="B69" s="8" t="inlineStr">
        <is>
          <t>Thanh toán</t>
        </is>
      </c>
      <c r="C69" s="8" t="inlineStr">
        <is>
          <t>PAY-01</t>
        </is>
      </c>
      <c r="D69" s="8" t="inlineStr">
        <is>
          <t>Thanh toán qua adapter cổng: cổng giả lập mặc định, Stripe Checkout khi có khoá</t>
        </is>
      </c>
      <c r="E69" s="8" t="inlineStr">
        <is>
          <t>2 · Phát triển</t>
        </is>
      </c>
      <c r="F69" s="8" t="inlineStr">
        <is>
          <t>S2</t>
        </is>
      </c>
      <c r="G69" s="8" t="inlineStr">
        <is>
          <t>BE · Tech Lead · QC</t>
        </is>
      </c>
      <c r="H69" s="8" t="inlineStr">
        <is>
          <t>Khách</t>
        </is>
      </c>
      <c r="I69" s="8" t="inlineStr">
        <is>
          <t>Web + API</t>
        </is>
      </c>
      <c r="J69" s="8" t="inlineStr">
        <is>
          <t>1. Tạo payment PENDING cho booking · 2. Chuyển sang trang cổng (giả lập hoặc Stripe) · 3. Cổng gọi webhook → PAID · 4. Booking → CONFIRMED, sinh bill, thông báo</t>
        </is>
      </c>
      <c r="K69" s="8" t="inlineStr">
        <is>
          <t>Booking không PENDING → 422; quá hạn → EXPIRED; thất bại → FAILED, cho thanh toán lại</t>
        </is>
      </c>
      <c r="L69" s="8" t="inlineStr">
        <is>
          <t>Số tiền phải khớp booking; một booking chỉ có một payment PAID</t>
        </is>
      </c>
      <c r="M69" s="8" t="inlineStr">
        <is>
          <t>Luồng giả lập chạy trọn; bật Stripe test cũng chạy cùng mã</t>
        </is>
      </c>
      <c r="N69" s="8" t="inlineStr"/>
      <c r="O69" s="8" t="inlineStr">
        <is>
          <t>SRS 4.7; Arch 1.4; API 4.3</t>
        </is>
      </c>
    </row>
    <row r="70">
      <c r="A70" s="8" t="inlineStr">
        <is>
          <t>PAY</t>
        </is>
      </c>
      <c r="B70" s="8" t="inlineStr">
        <is>
          <t>Thanh toán</t>
        </is>
      </c>
      <c r="C70" s="8" t="inlineStr">
        <is>
          <t>PAY-02</t>
        </is>
      </c>
      <c r="D70" s="8" t="inlineStr">
        <is>
          <t>Webhook cổng thanh toán: xác minh chữ ký, chống xử lý trùng theo mã giao dịch</t>
        </is>
      </c>
      <c r="E70" s="8" t="inlineStr">
        <is>
          <t>2 · Phát triển</t>
        </is>
      </c>
      <c r="F70" s="8" t="inlineStr">
        <is>
          <t>S2</t>
        </is>
      </c>
      <c r="G70" s="8" t="inlineStr">
        <is>
          <t>BE · Tech Lead · QC</t>
        </is>
      </c>
      <c r="H70" s="8" t="inlineStr">
        <is>
          <t>Hệ thống</t>
        </is>
      </c>
      <c r="I70" s="8" t="inlineStr">
        <is>
          <t>API</t>
        </is>
      </c>
      <c r="J70" s="8" t="inlineStr">
        <is>
          <t>1. Nhận yêu cầu · 2. Kiểm tra quyền và dữ liệu · 3. Xử lý nghiệp vụ · 4. Lưu và ghi nhật ký · 5. Trả kết quả, thông báo</t>
        </is>
      </c>
      <c r="K70" s="8" t="inlineStr">
        <is>
          <t>Dữ liệu không hợp lệ thì trả lỗi rõ ràng; lỗi hệ thống thì ghi log và cho thử lại</t>
        </is>
      </c>
      <c r="L70" s="8" t="inlineStr">
        <is>
          <t>Hành động nhạy cảm phải có nhật ký thao tác; phân quyền theo vai trò</t>
        </is>
      </c>
      <c r="M70" s="8" t="inlineStr">
        <is>
          <t>Thực hiện đúng luồng chính trên môi trường thử, xử lý đủ ngoại lệ, có kiểm thử tự động cho quy tắc chính</t>
        </is>
      </c>
      <c r="N70" s="8" t="inlineStr"/>
      <c r="O70" s="8" t="inlineStr">
        <is>
          <t>API 4.3 stripe/webhook; DB transaction_code</t>
        </is>
      </c>
    </row>
    <row r="71">
      <c r="A71" s="9" t="inlineStr">
        <is>
          <t>QUẢN LÝ</t>
        </is>
      </c>
      <c r="B71" s="9" t="inlineStr">
        <is>
          <t>Quy trình</t>
        </is>
      </c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QUẢN LÝ</t>
        </is>
      </c>
      <c r="B72" s="8" t="inlineStr">
        <is>
          <t>Quy trình</t>
        </is>
      </c>
      <c r="C72" s="8" t="inlineStr">
        <is>
          <t>DIS-02</t>
        </is>
      </c>
      <c r="D72" s="8" t="inlineStr">
        <is>
          <t>Convention, cấu trúc repo, branch flow, checklist review, DoD</t>
        </is>
      </c>
      <c r="E72" s="8" t="inlineStr">
        <is>
          <t>1 · UX/UI và nền tảng kỹ thuật</t>
        </is>
      </c>
      <c r="F72" s="8" t="inlineStr"/>
      <c r="G72" s="8" t="inlineStr">
        <is>
          <t>PM · DevOps · QC</t>
        </is>
      </c>
      <c r="H72" s="8" t="inlineStr">
        <is>
          <t>Mentor</t>
        </is>
      </c>
      <c r="I72" s="8" t="inlineStr">
        <is>
          <t>Tài liệu</t>
        </is>
      </c>
      <c r="J72" s="8" t="inlineStr">
        <is>
          <t>1. Nhận yêu cầu · 2. Kiểm tra quyền và dữ liệu · 3. Xử lý nghiệp vụ · 4. Lưu và ghi nhật ký · 5. Trả kết quả, thông báo</t>
        </is>
      </c>
      <c r="K72" s="8" t="inlineStr">
        <is>
          <t>Dữ liệu không hợp lệ thì trả lỗi rõ ràng; lỗi hệ thống thì ghi log và cho thử lại</t>
        </is>
      </c>
      <c r="L72" s="8" t="inlineStr">
        <is>
          <t>Hành động nhạy cảm phải có nhật ký thao tác; phân quyền theo vai trò</t>
        </is>
      </c>
      <c r="M72" s="8" t="inlineStr">
        <is>
          <t>Thực hiện đúng luồng chính trên môi trường thử, xử lý đủ ngoại lệ, có kiểm thử tự động cho quy tắc chính</t>
        </is>
      </c>
      <c r="N72" s="8" t="inlineStr"/>
      <c r="O72" s="8" t="inlineStr">
        <is>
          <t>Handover T1 §4</t>
        </is>
      </c>
    </row>
    <row r="73">
      <c r="A73" s="9" t="inlineStr">
        <is>
          <t>QUẢN LÝ</t>
        </is>
      </c>
      <c r="B73" s="9" t="inlineStr">
        <is>
          <t>Tài liệu</t>
        </is>
      </c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QUẢN LÝ</t>
        </is>
      </c>
      <c r="B74" s="8" t="inlineStr">
        <is>
          <t>Tài liệu</t>
        </is>
      </c>
      <c r="C74" s="8" t="inlineStr">
        <is>
          <t>DIS-01</t>
        </is>
      </c>
      <c r="D74" s="8" t="inlineStr">
        <is>
          <t>Rà soát và chốt baseline 5 tài liệu của intern, lập danh sách gap</t>
        </is>
      </c>
      <c r="E74" s="8" t="inlineStr">
        <is>
          <t>0 · Tài liệu và chốt phạm vi</t>
        </is>
      </c>
      <c r="F74" s="8" t="inlineStr"/>
      <c r="G74" s="8" t="inlineStr">
        <is>
          <t>BA · PM</t>
        </is>
      </c>
      <c r="H74" s="8" t="inlineStr">
        <is>
          <t>Mentor</t>
        </is>
      </c>
      <c r="I74" s="8" t="inlineStr">
        <is>
          <t>Tài liệu</t>
        </is>
      </c>
      <c r="J74" s="8" t="inlineStr">
        <is>
          <t>1. Nhận yêu cầu · 2. Kiểm tra quyền và dữ liệu · 3. Xử lý nghiệp vụ · 4. Lưu và ghi nhật ký · 5. Trả kết quả, thông báo</t>
        </is>
      </c>
      <c r="K74" s="8" t="inlineStr">
        <is>
          <t>Dữ liệu không hợp lệ thì trả lỗi rõ ràng; lỗi hệ thống thì ghi log và cho thử lại</t>
        </is>
      </c>
      <c r="L74" s="8" t="inlineStr">
        <is>
          <t>Hành động nhạy cảm phải có nhật ký thao tác; phân quyền theo vai trò</t>
        </is>
      </c>
      <c r="M74" s="8" t="inlineStr">
        <is>
          <t>Thực hiện đúng luồng chính trên môi trường thử, xử lý đủ ngoại lệ, có kiểm thử tự động cho quy tắc chính</t>
        </is>
      </c>
      <c r="N74" s="8" t="inlineStr"/>
      <c r="O74" s="8" t="inlineStr">
        <is>
          <t>Kế hoạch 2 ngày, Handover T1</t>
        </is>
      </c>
    </row>
    <row r="75">
      <c r="A75" s="9" t="inlineStr">
        <is>
          <t>REV</t>
        </is>
      </c>
      <c r="B75" s="9" t="inlineStr">
        <is>
          <t>Đánh giá</t>
        </is>
      </c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REV</t>
        </is>
      </c>
      <c r="B76" s="8" t="inlineStr">
        <is>
          <t>Đánh giá</t>
        </is>
      </c>
      <c r="C76" s="8" t="inlineStr">
        <is>
          <t>REV-01</t>
        </is>
      </c>
      <c r="D76" s="8" t="inlineStr">
        <is>
          <t>Đánh giá sau chuyến đi: một booking một đánh giá, hiện trên trang tour</t>
        </is>
      </c>
      <c r="E76" s="8" t="inlineStr">
        <is>
          <t>2 · Phát triển</t>
        </is>
      </c>
      <c r="F76" s="8" t="inlineStr">
        <is>
          <t>S3</t>
        </is>
      </c>
      <c r="G76" s="8" t="inlineStr">
        <is>
          <t>BE · Tech Lead · FE · Design · QC</t>
        </is>
      </c>
      <c r="H76" s="8" t="inlineStr">
        <is>
          <t>Khách</t>
        </is>
      </c>
      <c r="I76" s="8" t="inlineStr">
        <is>
          <t>Web + API</t>
        </is>
      </c>
      <c r="J76" s="8" t="inlineStr">
        <is>
          <t>1. Nhận yêu cầu · 2. Kiểm tra quyền và dữ liệu · 3. Xử lý nghiệp vụ · 4. Lưu và ghi nhật ký · 5. Trả kết quả, thông báo</t>
        </is>
      </c>
      <c r="K76" s="8" t="inlineStr">
        <is>
          <t>Dữ liệu không hợp lệ thì trả lỗi rõ ràng; lỗi hệ thống thì ghi log và cho thử lại</t>
        </is>
      </c>
      <c r="L76" s="8" t="inlineStr">
        <is>
          <t>Hành động nhạy cảm phải có nhật ký thao tác; phân quyền theo vai trò</t>
        </is>
      </c>
      <c r="M76" s="8" t="inlineStr">
        <is>
          <t>Thực hiện đúng luồng chính trên môi trường thử, xử lý đủ ngoại lệ, có kiểm thử tự động cho quy tắc chính</t>
        </is>
      </c>
      <c r="N76" s="8" t="inlineStr"/>
      <c r="O76" s="8" t="inlineStr">
        <is>
          <t>SRS 4.9, 9.7; API 4.5</t>
        </is>
      </c>
    </row>
    <row r="77">
      <c r="A77" s="8" t="inlineStr">
        <is>
          <t>REV</t>
        </is>
      </c>
      <c r="B77" s="8" t="inlineStr">
        <is>
          <t>Đánh giá</t>
        </is>
      </c>
      <c r="C77" s="8" t="inlineStr">
        <is>
          <t>REV-02</t>
        </is>
      </c>
      <c r="D77" s="8" t="inlineStr">
        <is>
          <t>Kiểm duyệt đánh giá: ẩn, hiện</t>
        </is>
      </c>
      <c r="E77" s="8" t="inlineStr">
        <is>
          <t>2 · Phát triển</t>
        </is>
      </c>
      <c r="F77" s="8" t="inlineStr">
        <is>
          <t>S3</t>
        </is>
      </c>
      <c r="G77" s="8" t="inlineStr">
        <is>
          <t>BE · Tech Lead · FE · Design · QC</t>
        </is>
      </c>
      <c r="H77" s="8" t="inlineStr">
        <is>
          <t>Tour Manager · Admin</t>
        </is>
      </c>
      <c r="I77" s="8" t="inlineStr">
        <is>
          <t>Web quản trị</t>
        </is>
      </c>
      <c r="J77" s="8" t="inlineStr">
        <is>
          <t>1. Nhận yêu cầu · 2. Kiểm tra quyền và dữ liệu · 3. Xử lý nghiệp vụ · 4. Lưu và ghi nhật ký · 5. Trả kết quả, thông báo</t>
        </is>
      </c>
      <c r="K77" s="8" t="inlineStr">
        <is>
          <t>Dữ liệu không hợp lệ thì trả lỗi rõ ràng; lỗi hệ thống thì ghi log và cho thử lại</t>
        </is>
      </c>
      <c r="L77" s="8" t="inlineStr">
        <is>
          <t>Hành động nhạy cảm phải có nhật ký thao tác; phân quyền theo vai trò</t>
        </is>
      </c>
      <c r="M77" s="8" t="inlineStr">
        <is>
          <t>Thực hiện đúng luồng chính trên môi trường thử, xử lý đủ ngoại lệ, có kiểm thử tự động cho quy tắc chính</t>
        </is>
      </c>
      <c r="N77" s="8" t="inlineStr"/>
      <c r="O77" s="8" t="inlineStr">
        <is>
          <t>SRS 9.7; DB reviews.status</t>
        </is>
      </c>
    </row>
    <row r="79">
      <c r="A79" s="4" t="inlineStr">
        <is>
          <t>© 2026 TVT GROUP · Tài liệu nội bộ · 23/09/2026</t>
        </is>
      </c>
    </row>
  </sheetData>
  <autoFilter ref="A3:O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8" customWidth="1" min="3" max="3"/>
    <col width="10" customWidth="1" min="4" max="4"/>
    <col width="14" customWidth="1" min="5" max="5"/>
    <col width="22" customWidth="1" min="6" max="6"/>
    <col width="10" customWidth="1" min="7" max="7"/>
    <col width="12" customWidth="1" min="8" max="8"/>
    <col width="58" customWidth="1" min="9" max="9"/>
    <col width="10" customWidth="1" min="10" max="10"/>
    <col width="22" customWidth="1" min="11" max="11"/>
    <col width="16" customWidth="1" min="12" max="12"/>
    <col width="14" customWidth="1" min="13" max="13"/>
    <col width="10" customWidth="1" min="14" max="14"/>
    <col width="8" customWidth="1" min="15" max="15"/>
    <col width="8" customWidth="1" min="16" max="16"/>
    <col width="16" customWidth="1" min="17" max="17"/>
    <col width="18" customWidth="1" min="18" max="18"/>
    <col width="14" customWidth="1" min="19" max="19"/>
  </cols>
  <sheetData>
    <row r="1">
      <c r="A1" s="5" t="inlineStr">
        <is>
          <t>Tasklist — Web trước — Next.js + API Spring Boot</t>
        </is>
      </c>
    </row>
    <row r="2">
      <c r="A2" s="6" t="inlineStr">
        <is>
          <t>Sắp theo Giai đoạn › Nhóm nghiệp vụ › Nhóm tính năng › Chức năng › Task · khối lượng là ngày làm việc thật</t>
        </is>
      </c>
    </row>
    <row r="3">
      <c r="A3" s="7" t="inlineStr">
        <is>
          <t>Mã task</t>
        </is>
      </c>
      <c r="B3" s="7" t="inlineStr">
        <is>
          <t>Giai đoạn</t>
        </is>
      </c>
      <c r="C3" s="7" t="inlineStr">
        <is>
          <t>Sprint</t>
        </is>
      </c>
      <c r="D3" s="7" t="inlineStr">
        <is>
          <t>Tuần</t>
        </is>
      </c>
      <c r="E3" s="7" t="inlineStr">
        <is>
          <t>Nhóm nghiệp vụ</t>
        </is>
      </c>
      <c r="F3" s="7" t="inlineStr">
        <is>
          <t>Nhóm tính năng</t>
        </is>
      </c>
      <c r="G3" s="7" t="inlineStr">
        <is>
          <t>Mã chức năng</t>
        </is>
      </c>
      <c r="H3" s="7" t="inlineStr">
        <is>
          <t>Mục tài liệu</t>
        </is>
      </c>
      <c r="I3" s="7" t="inlineStr">
        <is>
          <t>Nội dung công việc</t>
        </is>
      </c>
      <c r="J3" s="7" t="inlineStr">
        <is>
          <t>Khối lượng (ngày)</t>
        </is>
      </c>
      <c r="K3" s="7" t="inlineStr">
        <is>
          <t>Nhóm tham gia</t>
        </is>
      </c>
      <c r="L3" s="7" t="inlineStr">
        <is>
          <t>Actor</t>
        </is>
      </c>
      <c r="M3" s="7" t="inlineStr">
        <is>
          <t>Nền tảng</t>
        </is>
      </c>
      <c r="N3" s="7" t="inlineStr">
        <is>
          <t>Phụ thuộc</t>
        </is>
      </c>
      <c r="O3" s="7" t="inlineStr">
        <is>
          <t>Bắt buộc</t>
        </is>
      </c>
      <c r="P3" s="7" t="inlineStr">
        <is>
          <t>Gói</t>
        </is>
      </c>
      <c r="Q3" s="7" t="inlineStr">
        <is>
          <t>Dùng lại cho app</t>
        </is>
      </c>
      <c r="R3" s="7" t="inlineStr">
        <is>
          <t>Người thực hiện</t>
        </is>
      </c>
      <c r="S3" s="7" t="inlineStr">
        <is>
          <t>Trạng thái</t>
        </is>
      </c>
    </row>
    <row r="4">
      <c r="A4" s="10" t="inlineStr">
        <is>
          <t>0 · Tài liệu và chốt phạm vi</t>
        </is>
      </c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</row>
    <row r="5">
      <c r="A5" s="9" t="inlineStr"/>
      <c r="B5" s="9" t="inlineStr">
        <is>
          <t>0 · Tài liệu và chốt phạm vi</t>
        </is>
      </c>
      <c r="C5" s="9" t="inlineStr"/>
      <c r="D5" s="9" t="inlineStr"/>
      <c r="E5" s="9" t="inlineStr">
        <is>
          <t>QUẢN LÝ</t>
        </is>
      </c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</row>
    <row r="6">
      <c r="A6" s="11" t="inlineStr"/>
      <c r="B6" s="11" t="inlineStr">
        <is>
          <t>0 · Tài liệu và chốt phạm vi</t>
        </is>
      </c>
      <c r="C6" s="11" t="inlineStr"/>
      <c r="D6" s="11" t="inlineStr"/>
      <c r="E6" s="11" t="inlineStr">
        <is>
          <t>QUẢN LÝ</t>
        </is>
      </c>
      <c r="F6" s="11" t="inlineStr">
        <is>
          <t>Tài liệu</t>
        </is>
      </c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</row>
    <row r="7">
      <c r="A7" s="8" t="inlineStr">
        <is>
          <t>T-001</t>
        </is>
      </c>
      <c r="B7" s="8" t="inlineStr">
        <is>
          <t>0 · Tài liệu và chốt phạm vi</t>
        </is>
      </c>
      <c r="C7" s="8" t="inlineStr"/>
      <c r="D7" s="8" t="inlineStr">
        <is>
          <t>T1–T2</t>
        </is>
      </c>
      <c r="E7" s="8" t="inlineStr">
        <is>
          <t>QUẢN LÝ</t>
        </is>
      </c>
      <c r="F7" s="8" t="inlineStr">
        <is>
          <t>Tài liệu</t>
        </is>
      </c>
      <c r="G7" s="8" t="inlineStr">
        <is>
          <t>DIS-01</t>
        </is>
      </c>
      <c r="H7" s="8" t="inlineStr">
        <is>
          <t>Kế hoạch 2 ngày, Handover T1</t>
        </is>
      </c>
      <c r="I7" s="8" t="inlineStr">
        <is>
          <t>Phỏng vấn, chốt quy tắc và viết tài liệu — Rà soát và chốt baseline 5 tài liệu của intern, lập danh sách gap</t>
        </is>
      </c>
      <c r="J7" s="8" t="n">
        <v>2</v>
      </c>
      <c r="K7" s="8" t="inlineStr">
        <is>
          <t>BA · PM</t>
        </is>
      </c>
      <c r="L7" s="8" t="inlineStr">
        <is>
          <t>Mentor</t>
        </is>
      </c>
      <c r="M7" s="8" t="inlineStr">
        <is>
          <t>Tài liệu</t>
        </is>
      </c>
      <c r="N7" s="8" t="inlineStr"/>
      <c r="O7" s="8" t="inlineStr"/>
      <c r="P7" s="8" t="inlineStr"/>
      <c r="Q7" s="8" t="inlineStr">
        <is>
          <t>Web + API</t>
        </is>
      </c>
      <c r="R7" s="12" t="inlineStr"/>
      <c r="S7" s="12" t="inlineStr"/>
    </row>
    <row r="8">
      <c r="A8" s="8" t="inlineStr">
        <is>
          <t>T-002</t>
        </is>
      </c>
      <c r="B8" s="8" t="inlineStr">
        <is>
          <t>0 · Tài liệu và chốt phạm vi</t>
        </is>
      </c>
      <c r="C8" s="8" t="inlineStr"/>
      <c r="D8" s="8" t="inlineStr">
        <is>
          <t>T1–T2</t>
        </is>
      </c>
      <c r="E8" s="8" t="inlineStr">
        <is>
          <t>QUẢN LÝ</t>
        </is>
      </c>
      <c r="F8" s="8" t="inlineStr">
        <is>
          <t>Tài liệu</t>
        </is>
      </c>
      <c r="G8" s="8" t="inlineStr">
        <is>
          <t>DIS-01</t>
        </is>
      </c>
      <c r="H8" s="8" t="inlineStr">
        <is>
          <t>Kế hoạch 2 ngày, Handover T1</t>
        </is>
      </c>
      <c r="I8" s="8" t="inlineStr">
        <is>
          <t>Tổng hợp, rà soát và duyệt — Rà soát và chốt baseline 5 tài liệu của intern, lập danh sách gap</t>
        </is>
      </c>
      <c r="J8" s="8" t="n">
        <v>1</v>
      </c>
      <c r="K8" s="8" t="inlineStr">
        <is>
          <t>PM</t>
        </is>
      </c>
      <c r="L8" s="8" t="inlineStr">
        <is>
          <t>Mentor</t>
        </is>
      </c>
      <c r="M8" s="8" t="inlineStr">
        <is>
          <t>Tài liệu</t>
        </is>
      </c>
      <c r="N8" s="8" t="inlineStr">
        <is>
          <t>T-001</t>
        </is>
      </c>
      <c r="O8" s="8" t="inlineStr"/>
      <c r="P8" s="8" t="inlineStr"/>
      <c r="Q8" s="8" t="inlineStr">
        <is>
          <t>Web + API</t>
        </is>
      </c>
      <c r="R8" s="12" t="inlineStr"/>
      <c r="S8" s="12" t="inlineStr"/>
    </row>
    <row r="9">
      <c r="A9" s="10" t="inlineStr">
        <is>
          <t>1 · UX/UI và nền tảng kỹ thuật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</row>
    <row r="10">
      <c r="A10" s="9" t="inlineStr"/>
      <c r="B10" s="9" t="inlineStr">
        <is>
          <t>1 · UX/UI và nền tảng kỹ thuật</t>
        </is>
      </c>
      <c r="C10" s="9" t="inlineStr"/>
      <c r="D10" s="9" t="inlineStr"/>
      <c r="E10" s="9" t="inlineStr">
        <is>
          <t>NỀN</t>
        </is>
      </c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</row>
    <row r="11">
      <c r="A11" s="11" t="inlineStr"/>
      <c r="B11" s="11" t="inlineStr">
        <is>
          <t>1 · UX/UI và nền tảng kỹ thuật</t>
        </is>
      </c>
      <c r="C11" s="11" t="inlineStr"/>
      <c r="D11" s="11" t="inlineStr"/>
      <c r="E11" s="11" t="inlineStr">
        <is>
          <t>NỀN</t>
        </is>
      </c>
      <c r="F11" s="11" t="inlineStr">
        <is>
          <t>Nền tảng</t>
        </is>
      </c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</row>
    <row r="12">
      <c r="A12" s="8" t="inlineStr">
        <is>
          <t>T-003</t>
        </is>
      </c>
      <c r="B12" s="8" t="inlineStr">
        <is>
          <t>1 · UX/UI và nền tảng kỹ thuật</t>
        </is>
      </c>
      <c r="C12" s="8" t="inlineStr"/>
      <c r="D12" s="8" t="inlineStr">
        <is>
          <t>T3–T4</t>
        </is>
      </c>
      <c r="E12" s="8" t="inlineStr">
        <is>
          <t>NỀN</t>
        </is>
      </c>
      <c r="F12" s="8" t="inlineStr">
        <is>
          <t>Nền tảng</t>
        </is>
      </c>
      <c r="G12" s="8" t="inlineStr">
        <is>
          <t>SYS-01</t>
        </is>
      </c>
      <c r="H12" s="8" t="inlineStr">
        <is>
          <t>Arch 1.5, BE structure</t>
        </is>
      </c>
      <c r="I12" s="8" t="inlineStr">
        <is>
          <t>Cấu hình hạ tầng và pipeline — Khởi tạo dự án backend, frontend, Docker Compose và migration Flyway đầu tiên</t>
        </is>
      </c>
      <c r="J12" s="8" t="n">
        <v>2.5</v>
      </c>
      <c r="K12" s="8" t="inlineStr">
        <is>
          <t>DevOps · Tech Lead</t>
        </is>
      </c>
      <c r="L12" s="8" t="inlineStr">
        <is>
          <t>Mentor</t>
        </is>
      </c>
      <c r="M12" s="8" t="inlineStr">
        <is>
          <t>Hạ tầng</t>
        </is>
      </c>
      <c r="N12" s="8" t="inlineStr"/>
      <c r="O12" s="8" t="inlineStr">
        <is>
          <t>✓</t>
        </is>
      </c>
      <c r="P12" s="8" t="inlineStr"/>
      <c r="Q12" s="8" t="inlineStr">
        <is>
          <t>Web + API</t>
        </is>
      </c>
      <c r="R12" s="12" t="inlineStr"/>
      <c r="S12" s="12" t="inlineStr"/>
    </row>
    <row r="13">
      <c r="A13" s="8" t="inlineStr">
        <is>
          <t>T-004</t>
        </is>
      </c>
      <c r="B13" s="8" t="inlineStr">
        <is>
          <t>1 · UX/UI và nền tảng kỹ thuật</t>
        </is>
      </c>
      <c r="C13" s="8" t="inlineStr"/>
      <c r="D13" s="8" t="inlineStr">
        <is>
          <t>T3–T4</t>
        </is>
      </c>
      <c r="E13" s="8" t="inlineStr">
        <is>
          <t>NỀN</t>
        </is>
      </c>
      <c r="F13" s="8" t="inlineStr">
        <is>
          <t>Nền tảng</t>
        </is>
      </c>
      <c r="G13" s="8" t="inlineStr">
        <is>
          <t>SYS-01</t>
        </is>
      </c>
      <c r="H13" s="8" t="inlineStr">
        <is>
          <t>Arch 1.5, BE structure</t>
        </is>
      </c>
      <c r="I13" s="8" t="inlineStr">
        <is>
          <t>Tích hợp vào ứng dụng — Khởi tạo dự án backend, frontend, Docker Compose và migration Flyway đầu tiên</t>
        </is>
      </c>
      <c r="J13" s="8" t="n">
        <v>1.5</v>
      </c>
      <c r="K13" s="8" t="inlineStr">
        <is>
          <t>BE</t>
        </is>
      </c>
      <c r="L13" s="8" t="inlineStr">
        <is>
          <t>Mentor</t>
        </is>
      </c>
      <c r="M13" s="8" t="inlineStr">
        <is>
          <t>Hạ tầng</t>
        </is>
      </c>
      <c r="N13" s="8" t="inlineStr">
        <is>
          <t>T-003</t>
        </is>
      </c>
      <c r="O13" s="8" t="inlineStr">
        <is>
          <t>✓</t>
        </is>
      </c>
      <c r="P13" s="8" t="inlineStr"/>
      <c r="Q13" s="8" t="inlineStr">
        <is>
          <t>Web + API</t>
        </is>
      </c>
      <c r="R13" s="12" t="inlineStr"/>
      <c r="S13" s="12" t="inlineStr"/>
    </row>
    <row r="14">
      <c r="A14" s="8" t="inlineStr">
        <is>
          <t>T-005</t>
        </is>
      </c>
      <c r="B14" s="8" t="inlineStr">
        <is>
          <t>1 · UX/UI và nền tảng kỹ thuật</t>
        </is>
      </c>
      <c r="C14" s="8" t="inlineStr"/>
      <c r="D14" s="8" t="inlineStr">
        <is>
          <t>T3–T4</t>
        </is>
      </c>
      <c r="E14" s="8" t="inlineStr">
        <is>
          <t>NỀN</t>
        </is>
      </c>
      <c r="F14" s="8" t="inlineStr">
        <is>
          <t>Nền tảng</t>
        </is>
      </c>
      <c r="G14" s="8" t="inlineStr">
        <is>
          <t>SYS-01</t>
        </is>
      </c>
      <c r="H14" s="8" t="inlineStr">
        <is>
          <t>Arch 1.5, BE structure</t>
        </is>
      </c>
      <c r="I14" s="8" t="inlineStr">
        <is>
          <t>Kiểm thử và tài liệu vận hành — Khởi tạo dự án backend, frontend, Docker Compose và migration Flyway đầu tiên</t>
        </is>
      </c>
      <c r="J14" s="8" t="n">
        <v>1</v>
      </c>
      <c r="K14" s="8" t="inlineStr">
        <is>
          <t>QC</t>
        </is>
      </c>
      <c r="L14" s="8" t="inlineStr">
        <is>
          <t>Mentor</t>
        </is>
      </c>
      <c r="M14" s="8" t="inlineStr">
        <is>
          <t>Hạ tầng</t>
        </is>
      </c>
      <c r="N14" s="8" t="inlineStr">
        <is>
          <t>T-004</t>
        </is>
      </c>
      <c r="O14" s="8" t="inlineStr">
        <is>
          <t>✓</t>
        </is>
      </c>
      <c r="P14" s="8" t="inlineStr"/>
      <c r="Q14" s="8" t="inlineStr">
        <is>
          <t>Web + API</t>
        </is>
      </c>
      <c r="R14" s="12" t="inlineStr"/>
      <c r="S14" s="12" t="inlineStr"/>
    </row>
    <row r="15">
      <c r="A15" s="8" t="inlineStr">
        <is>
          <t>T-006</t>
        </is>
      </c>
      <c r="B15" s="8" t="inlineStr">
        <is>
          <t>1 · UX/UI và nền tảng kỹ thuật</t>
        </is>
      </c>
      <c r="C15" s="8" t="inlineStr"/>
      <c r="D15" s="8" t="inlineStr">
        <is>
          <t>T3–T4</t>
        </is>
      </c>
      <c r="E15" s="8" t="inlineStr">
        <is>
          <t>NỀN</t>
        </is>
      </c>
      <c r="F15" s="8" t="inlineStr">
        <is>
          <t>Nền tảng</t>
        </is>
      </c>
      <c r="G15" s="8" t="inlineStr">
        <is>
          <t>SYS-02</t>
        </is>
      </c>
      <c r="H15" s="8" t="inlineStr">
        <is>
          <t>API doc §2–3, §6, §8</t>
        </is>
      </c>
      <c r="I15" s="8" t="inlineStr">
        <is>
          <t>Thiết kế dữ liệu và API — Khung API chuẩn: ApiResponse, mã lỗi, validation, requestId, Swagger</t>
        </is>
      </c>
      <c r="J15" s="8" t="n">
        <v>1</v>
      </c>
      <c r="K15" s="8" t="inlineStr">
        <is>
          <t>BE · Tech Lead</t>
        </is>
      </c>
      <c r="L15" s="8" t="inlineStr">
        <is>
          <t>Mentor</t>
        </is>
      </c>
      <c r="M15" s="8" t="inlineStr">
        <is>
          <t>API</t>
        </is>
      </c>
      <c r="N15" s="8" t="inlineStr"/>
      <c r="O15" s="8" t="inlineStr">
        <is>
          <t>✓</t>
        </is>
      </c>
      <c r="P15" s="8" t="inlineStr"/>
      <c r="Q15" s="8" t="inlineStr">
        <is>
          <t>Web + API</t>
        </is>
      </c>
      <c r="R15" s="12" t="inlineStr"/>
      <c r="S15" s="12" t="inlineStr"/>
    </row>
    <row r="16">
      <c r="A16" s="8" t="inlineStr">
        <is>
          <t>T-007</t>
        </is>
      </c>
      <c r="B16" s="8" t="inlineStr">
        <is>
          <t>1 · UX/UI và nền tảng kỹ thuật</t>
        </is>
      </c>
      <c r="C16" s="8" t="inlineStr"/>
      <c r="D16" s="8" t="inlineStr">
        <is>
          <t>T3–T4</t>
        </is>
      </c>
      <c r="E16" s="8" t="inlineStr">
        <is>
          <t>NỀN</t>
        </is>
      </c>
      <c r="F16" s="8" t="inlineStr">
        <is>
          <t>Nền tảng</t>
        </is>
      </c>
      <c r="G16" s="8" t="inlineStr">
        <is>
          <t>SYS-02</t>
        </is>
      </c>
      <c r="H16" s="8" t="inlineStr">
        <is>
          <t>API doc §2–3, §6, §8</t>
        </is>
      </c>
      <c r="I16" s="8" t="inlineStr">
        <is>
          <t>Cài đặt quy tắc nghiệp vụ — Khung API chuẩn: ApiResponse, mã lỗi, validation, requestId, Swagger</t>
        </is>
      </c>
      <c r="J16" s="8" t="n">
        <v>1</v>
      </c>
      <c r="K16" s="8" t="inlineStr">
        <is>
          <t>BE</t>
        </is>
      </c>
      <c r="L16" s="8" t="inlineStr">
        <is>
          <t>Mentor</t>
        </is>
      </c>
      <c r="M16" s="8" t="inlineStr">
        <is>
          <t>API</t>
        </is>
      </c>
      <c r="N16" s="8" t="inlineStr">
        <is>
          <t>T-006</t>
        </is>
      </c>
      <c r="O16" s="8" t="inlineStr">
        <is>
          <t>✓</t>
        </is>
      </c>
      <c r="P16" s="8" t="inlineStr"/>
      <c r="Q16" s="8" t="inlineStr">
        <is>
          <t>Web + API</t>
        </is>
      </c>
      <c r="R16" s="12" t="inlineStr"/>
      <c r="S16" s="12" t="inlineStr"/>
    </row>
    <row r="17">
      <c r="A17" s="8" t="inlineStr">
        <is>
          <t>T-008</t>
        </is>
      </c>
      <c r="B17" s="8" t="inlineStr">
        <is>
          <t>1 · UX/UI và nền tảng kỹ thuật</t>
        </is>
      </c>
      <c r="C17" s="8" t="inlineStr"/>
      <c r="D17" s="8" t="inlineStr">
        <is>
          <t>T3–T4</t>
        </is>
      </c>
      <c r="E17" s="8" t="inlineStr">
        <is>
          <t>NỀN</t>
        </is>
      </c>
      <c r="F17" s="8" t="inlineStr">
        <is>
          <t>Nền tảng</t>
        </is>
      </c>
      <c r="G17" s="8" t="inlineStr">
        <is>
          <t>SYS-02</t>
        </is>
      </c>
      <c r="H17" s="8" t="inlineStr">
        <is>
          <t>API doc §2–3, §6, §8</t>
        </is>
      </c>
      <c r="I17" s="8" t="inlineStr">
        <is>
          <t>Viết test case và kiểm thử — Khung API chuẩn: ApiResponse, mã lỗi, validation, requestId, Swagger</t>
        </is>
      </c>
      <c r="J17" s="8" t="n">
        <v>1</v>
      </c>
      <c r="K17" s="8" t="inlineStr">
        <is>
          <t>QC</t>
        </is>
      </c>
      <c r="L17" s="8" t="inlineStr">
        <is>
          <t>Mentor</t>
        </is>
      </c>
      <c r="M17" s="8" t="inlineStr">
        <is>
          <t>API</t>
        </is>
      </c>
      <c r="N17" s="8" t="inlineStr">
        <is>
          <t>T-007</t>
        </is>
      </c>
      <c r="O17" s="8" t="inlineStr">
        <is>
          <t>✓</t>
        </is>
      </c>
      <c r="P17" s="8" t="inlineStr"/>
      <c r="Q17" s="8" t="inlineStr">
        <is>
          <t>Web + API</t>
        </is>
      </c>
      <c r="R17" s="12" t="inlineStr"/>
      <c r="S17" s="12" t="inlineStr"/>
    </row>
    <row r="18">
      <c r="A18" s="9" t="inlineStr"/>
      <c r="B18" s="9" t="inlineStr">
        <is>
          <t>1 · UX/UI và nền tảng kỹ thuật</t>
        </is>
      </c>
      <c r="C18" s="9" t="inlineStr"/>
      <c r="D18" s="9" t="inlineStr"/>
      <c r="E18" s="9" t="inlineStr">
        <is>
          <t>QUẢN LÝ</t>
        </is>
      </c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</row>
    <row r="19">
      <c r="A19" s="11" t="inlineStr"/>
      <c r="B19" s="11" t="inlineStr">
        <is>
          <t>1 · UX/UI và nền tảng kỹ thuật</t>
        </is>
      </c>
      <c r="C19" s="11" t="inlineStr"/>
      <c r="D19" s="11" t="inlineStr"/>
      <c r="E19" s="11" t="inlineStr">
        <is>
          <t>QUẢN LÝ</t>
        </is>
      </c>
      <c r="F19" s="11" t="inlineStr">
        <is>
          <t>Quy trình</t>
        </is>
      </c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</row>
    <row r="20">
      <c r="A20" s="8" t="inlineStr">
        <is>
          <t>T-009</t>
        </is>
      </c>
      <c r="B20" s="8" t="inlineStr">
        <is>
          <t>1 · UX/UI và nền tảng kỹ thuật</t>
        </is>
      </c>
      <c r="C20" s="8" t="inlineStr"/>
      <c r="D20" s="8" t="inlineStr">
        <is>
          <t>T3–T4</t>
        </is>
      </c>
      <c r="E20" s="8" t="inlineStr">
        <is>
          <t>QUẢN LÝ</t>
        </is>
      </c>
      <c r="F20" s="8" t="inlineStr">
        <is>
          <t>Quy trình</t>
        </is>
      </c>
      <c r="G20" s="8" t="inlineStr">
        <is>
          <t>DIS-02</t>
        </is>
      </c>
      <c r="H20" s="8" t="inlineStr">
        <is>
          <t>Handover T1 §4</t>
        </is>
      </c>
      <c r="I20" s="8" t="inlineStr">
        <is>
          <t>Chuẩn bị và thực hiện — Convention, cấu trúc repo, branch flow, checklist review, DoD</t>
        </is>
      </c>
      <c r="J20" s="8" t="n">
        <v>1</v>
      </c>
      <c r="K20" s="8" t="inlineStr">
        <is>
          <t>PM · DevOps</t>
        </is>
      </c>
      <c r="L20" s="8" t="inlineStr">
        <is>
          <t>Mentor</t>
        </is>
      </c>
      <c r="M20" s="8" t="inlineStr">
        <is>
          <t>Tài liệu</t>
        </is>
      </c>
      <c r="N20" s="8" t="inlineStr"/>
      <c r="O20" s="8" t="inlineStr"/>
      <c r="P20" s="8" t="inlineStr"/>
      <c r="Q20" s="8" t="inlineStr">
        <is>
          <t>Web + API</t>
        </is>
      </c>
      <c r="R20" s="12" t="inlineStr"/>
      <c r="S20" s="12" t="inlineStr"/>
    </row>
    <row r="21">
      <c r="A21" s="8" t="inlineStr">
        <is>
          <t>T-010</t>
        </is>
      </c>
      <c r="B21" s="8" t="inlineStr">
        <is>
          <t>1 · UX/UI và nền tảng kỹ thuật</t>
        </is>
      </c>
      <c r="C21" s="8" t="inlineStr"/>
      <c r="D21" s="8" t="inlineStr">
        <is>
          <t>T3–T4</t>
        </is>
      </c>
      <c r="E21" s="8" t="inlineStr">
        <is>
          <t>QUẢN LÝ</t>
        </is>
      </c>
      <c r="F21" s="8" t="inlineStr">
        <is>
          <t>Quy trình</t>
        </is>
      </c>
      <c r="G21" s="8" t="inlineStr">
        <is>
          <t>DIS-02</t>
        </is>
      </c>
      <c r="H21" s="8" t="inlineStr">
        <is>
          <t>Handover T1 §4</t>
        </is>
      </c>
      <c r="I21" s="8" t="inlineStr">
        <is>
          <t>Kiểm tra và bàn giao — Convention, cấu trúc repo, branch flow, checklist review, DoD</t>
        </is>
      </c>
      <c r="J21" s="8" t="n">
        <v>1</v>
      </c>
      <c r="K21" s="8" t="inlineStr">
        <is>
          <t>QC · PM</t>
        </is>
      </c>
      <c r="L21" s="8" t="inlineStr">
        <is>
          <t>Mentor</t>
        </is>
      </c>
      <c r="M21" s="8" t="inlineStr">
        <is>
          <t>Tài liệu</t>
        </is>
      </c>
      <c r="N21" s="8" t="inlineStr">
        <is>
          <t>T-009</t>
        </is>
      </c>
      <c r="O21" s="8" t="inlineStr"/>
      <c r="P21" s="8" t="inlineStr"/>
      <c r="Q21" s="8" t="inlineStr">
        <is>
          <t>Web + API</t>
        </is>
      </c>
      <c r="R21" s="12" t="inlineStr"/>
      <c r="S21" s="12" t="inlineStr"/>
    </row>
    <row r="22">
      <c r="A22" s="10" t="inlineStr">
        <is>
          <t>2 · Phát triển</t>
        </is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</row>
    <row r="23">
      <c r="A23" s="9" t="inlineStr"/>
      <c r="B23" s="9" t="inlineStr">
        <is>
          <t>2 · Phát triển</t>
        </is>
      </c>
      <c r="C23" s="9" t="inlineStr"/>
      <c r="D23" s="9" t="inlineStr"/>
      <c r="E23" s="9" t="inlineStr">
        <is>
          <t>ACC</t>
        </is>
      </c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</row>
    <row r="24">
      <c r="A24" s="11" t="inlineStr"/>
      <c r="B24" s="11" t="inlineStr">
        <is>
          <t>2 · Phát triển</t>
        </is>
      </c>
      <c r="C24" s="11" t="inlineStr"/>
      <c r="D24" s="11" t="inlineStr"/>
      <c r="E24" s="11" t="inlineStr">
        <is>
          <t>ACC</t>
        </is>
      </c>
      <c r="F24" s="11" t="inlineStr">
        <is>
          <t>Phân quyền</t>
        </is>
      </c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</row>
    <row r="25">
      <c r="A25" s="8" t="inlineStr">
        <is>
          <t>T-011</t>
        </is>
      </c>
      <c r="B25" s="8" t="inlineStr">
        <is>
          <t>2 · Phát triển</t>
        </is>
      </c>
      <c r="C25" s="8" t="inlineStr">
        <is>
          <t>S1</t>
        </is>
      </c>
      <c r="D25" s="8" t="inlineStr">
        <is>
          <t>T5–T6</t>
        </is>
      </c>
      <c r="E25" s="8" t="inlineStr">
        <is>
          <t>ACC</t>
        </is>
      </c>
      <c r="F25" s="8" t="inlineStr">
        <is>
          <t>Phân quyền</t>
        </is>
      </c>
      <c r="G25" s="8" t="inlineStr">
        <is>
          <t>ACC-05</t>
        </is>
      </c>
      <c r="H25" s="8" t="inlineStr">
        <is>
          <t>SRS 9.1, 3.2.3, 8.3</t>
        </is>
      </c>
      <c r="I25" s="8" t="inlineStr">
        <is>
          <t>Thiết kế dữ liệu và API — Phân quyền theo vai trò: Customer, Tour Guide, Tour Manager, Admin — chặn ở API và URL</t>
        </is>
      </c>
      <c r="J25" s="8" t="n">
        <v>1</v>
      </c>
      <c r="K25" s="8" t="inlineStr">
        <is>
          <t>BE · Tech Lead</t>
        </is>
      </c>
      <c r="L25" s="8" t="inlineStr">
        <is>
          <t>Nội bộ</t>
        </is>
      </c>
      <c r="M25" s="8" t="inlineStr">
        <is>
          <t>API + Web</t>
        </is>
      </c>
      <c r="N25" s="8" t="inlineStr"/>
      <c r="O25" s="8" t="inlineStr">
        <is>
          <t>✓</t>
        </is>
      </c>
      <c r="P25" s="8" t="inlineStr"/>
      <c r="Q25" s="8" t="inlineStr">
        <is>
          <t>Web + API</t>
        </is>
      </c>
      <c r="R25" s="12" t="inlineStr"/>
      <c r="S25" s="12" t="inlineStr"/>
    </row>
    <row r="26">
      <c r="A26" s="8" t="inlineStr">
        <is>
          <t>T-012</t>
        </is>
      </c>
      <c r="B26" s="8" t="inlineStr">
        <is>
          <t>2 · Phát triển</t>
        </is>
      </c>
      <c r="C26" s="8" t="inlineStr">
        <is>
          <t>S1</t>
        </is>
      </c>
      <c r="D26" s="8" t="inlineStr">
        <is>
          <t>T5–T6</t>
        </is>
      </c>
      <c r="E26" s="8" t="inlineStr">
        <is>
          <t>ACC</t>
        </is>
      </c>
      <c r="F26" s="8" t="inlineStr">
        <is>
          <t>Phân quyền</t>
        </is>
      </c>
      <c r="G26" s="8" t="inlineStr">
        <is>
          <t>ACC-05</t>
        </is>
      </c>
      <c r="H26" s="8" t="inlineStr">
        <is>
          <t>SRS 9.1, 3.2.3, 8.3</t>
        </is>
      </c>
      <c r="I26" s="8" t="inlineStr">
        <is>
          <t>Cài đặt quy tắc nghiệp vụ — Phân quyền theo vai trò: Customer, Tour Guide, Tour Manager, Admin — chặn ở API và URL</t>
        </is>
      </c>
      <c r="J26" s="8" t="n">
        <v>1</v>
      </c>
      <c r="K26" s="8" t="inlineStr">
        <is>
          <t>BE</t>
        </is>
      </c>
      <c r="L26" s="8" t="inlineStr">
        <is>
          <t>Nội bộ</t>
        </is>
      </c>
      <c r="M26" s="8" t="inlineStr">
        <is>
          <t>API + Web</t>
        </is>
      </c>
      <c r="N26" s="8" t="inlineStr">
        <is>
          <t>T-011</t>
        </is>
      </c>
      <c r="O26" s="8" t="inlineStr">
        <is>
          <t>✓</t>
        </is>
      </c>
      <c r="P26" s="8" t="inlineStr"/>
      <c r="Q26" s="8" t="inlineStr">
        <is>
          <t>Web + API</t>
        </is>
      </c>
      <c r="R26" s="12" t="inlineStr"/>
      <c r="S26" s="12" t="inlineStr"/>
    </row>
    <row r="27">
      <c r="A27" s="8" t="inlineStr">
        <is>
          <t>T-013</t>
        </is>
      </c>
      <c r="B27" s="8" t="inlineStr">
        <is>
          <t>2 · Phát triển</t>
        </is>
      </c>
      <c r="C27" s="8" t="inlineStr">
        <is>
          <t>S1</t>
        </is>
      </c>
      <c r="D27" s="8" t="inlineStr">
        <is>
          <t>T5–T6</t>
        </is>
      </c>
      <c r="E27" s="8" t="inlineStr">
        <is>
          <t>ACC</t>
        </is>
      </c>
      <c r="F27" s="8" t="inlineStr">
        <is>
          <t>Phân quyền</t>
        </is>
      </c>
      <c r="G27" s="8" t="inlineStr">
        <is>
          <t>ACC-05</t>
        </is>
      </c>
      <c r="H27" s="8" t="inlineStr">
        <is>
          <t>SRS 9.1, 3.2.3, 8.3</t>
        </is>
      </c>
      <c r="I27" s="8" t="inlineStr">
        <is>
          <t>Viết test case và kiểm thử — Phân quyền theo vai trò: Customer, Tour Guide, Tour Manager, Admin — chặn ở API và URL</t>
        </is>
      </c>
      <c r="J27" s="8" t="n">
        <v>1</v>
      </c>
      <c r="K27" s="8" t="inlineStr">
        <is>
          <t>QC</t>
        </is>
      </c>
      <c r="L27" s="8" t="inlineStr">
        <is>
          <t>Nội bộ</t>
        </is>
      </c>
      <c r="M27" s="8" t="inlineStr">
        <is>
          <t>API + Web</t>
        </is>
      </c>
      <c r="N27" s="8" t="inlineStr">
        <is>
          <t>T-012</t>
        </is>
      </c>
      <c r="O27" s="8" t="inlineStr">
        <is>
          <t>✓</t>
        </is>
      </c>
      <c r="P27" s="8" t="inlineStr"/>
      <c r="Q27" s="8" t="inlineStr">
        <is>
          <t>Web + API</t>
        </is>
      </c>
      <c r="R27" s="12" t="inlineStr"/>
      <c r="S27" s="12" t="inlineStr"/>
    </row>
    <row r="28">
      <c r="A28" s="11" t="inlineStr"/>
      <c r="B28" s="11" t="inlineStr">
        <is>
          <t>2 · Phát triển</t>
        </is>
      </c>
      <c r="C28" s="11" t="inlineStr"/>
      <c r="D28" s="11" t="inlineStr"/>
      <c r="E28" s="11" t="inlineStr">
        <is>
          <t>ACC</t>
        </is>
      </c>
      <c r="F28" s="11" t="inlineStr">
        <is>
          <t>Xác thực</t>
        </is>
      </c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</row>
    <row r="29">
      <c r="A29" s="8" t="inlineStr">
        <is>
          <t>T-014</t>
        </is>
      </c>
      <c r="B29" s="8" t="inlineStr">
        <is>
          <t>2 · Phát triển</t>
        </is>
      </c>
      <c r="C29" s="8" t="inlineStr">
        <is>
          <t>S1</t>
        </is>
      </c>
      <c r="D29" s="8" t="inlineStr">
        <is>
          <t>T5–T6</t>
        </is>
      </c>
      <c r="E29" s="8" t="inlineStr">
        <is>
          <t>ACC</t>
        </is>
      </c>
      <c r="F29" s="8" t="inlineStr">
        <is>
          <t>Xác thực</t>
        </is>
      </c>
      <c r="G29" s="8" t="inlineStr">
        <is>
          <t>ACC-01</t>
        </is>
      </c>
      <c r="H29" s="8" t="inlineStr">
        <is>
          <t>SRS UC-AUTH-01, API 4.12</t>
        </is>
      </c>
      <c r="I29" s="8" t="inlineStr">
        <is>
          <t>Thiết kế dữ liệu và API — Đăng ký tài khoản khách hàng</t>
        </is>
      </c>
      <c r="J29" s="8" t="n">
        <v>1</v>
      </c>
      <c r="K29" s="8" t="inlineStr">
        <is>
          <t>BE · Tech Lead</t>
        </is>
      </c>
      <c r="L29" s="8" t="inlineStr">
        <is>
          <t>Khách</t>
        </is>
      </c>
      <c r="M29" s="8" t="inlineStr">
        <is>
          <t>Web</t>
        </is>
      </c>
      <c r="N29" s="8" t="inlineStr"/>
      <c r="O29" s="8" t="inlineStr">
        <is>
          <t>✓</t>
        </is>
      </c>
      <c r="P29" s="8" t="inlineStr"/>
      <c r="Q29" s="8" t="inlineStr">
        <is>
          <t>Web + API</t>
        </is>
      </c>
      <c r="R29" s="12" t="inlineStr"/>
      <c r="S29" s="12" t="inlineStr"/>
    </row>
    <row r="30">
      <c r="A30" s="8" t="inlineStr">
        <is>
          <t>T-015</t>
        </is>
      </c>
      <c r="B30" s="8" t="inlineStr">
        <is>
          <t>2 · Phát triển</t>
        </is>
      </c>
      <c r="C30" s="8" t="inlineStr">
        <is>
          <t>S1</t>
        </is>
      </c>
      <c r="D30" s="8" t="inlineStr">
        <is>
          <t>T5–T6</t>
        </is>
      </c>
      <c r="E30" s="8" t="inlineStr">
        <is>
          <t>ACC</t>
        </is>
      </c>
      <c r="F30" s="8" t="inlineStr">
        <is>
          <t>Xác thực</t>
        </is>
      </c>
      <c r="G30" s="8" t="inlineStr">
        <is>
          <t>ACC-01</t>
        </is>
      </c>
      <c r="H30" s="8" t="inlineStr">
        <is>
          <t>SRS UC-AUTH-01, API 4.12</t>
        </is>
      </c>
      <c r="I30" s="8" t="inlineStr">
        <is>
          <t>Giao diện và kết nối API — Đăng ký tài khoản khách hàng</t>
        </is>
      </c>
      <c r="J30" s="8" t="n">
        <v>0.5</v>
      </c>
      <c r="K30" s="8" t="inlineStr">
        <is>
          <t>FE · Design</t>
        </is>
      </c>
      <c r="L30" s="8" t="inlineStr">
        <is>
          <t>Khách</t>
        </is>
      </c>
      <c r="M30" s="8" t="inlineStr">
        <is>
          <t>Web</t>
        </is>
      </c>
      <c r="N30" s="8" t="inlineStr">
        <is>
          <t>T-014</t>
        </is>
      </c>
      <c r="O30" s="8" t="inlineStr">
        <is>
          <t>✓</t>
        </is>
      </c>
      <c r="P30" s="8" t="inlineStr"/>
      <c r="Q30" s="8" t="inlineStr">
        <is>
          <t>Web + API</t>
        </is>
      </c>
      <c r="R30" s="12" t="inlineStr"/>
      <c r="S30" s="12" t="inlineStr"/>
    </row>
    <row r="31">
      <c r="A31" s="8" t="inlineStr">
        <is>
          <t>T-016</t>
        </is>
      </c>
      <c r="B31" s="8" t="inlineStr">
        <is>
          <t>2 · Phát triển</t>
        </is>
      </c>
      <c r="C31" s="8" t="inlineStr">
        <is>
          <t>S1</t>
        </is>
      </c>
      <c r="D31" s="8" t="inlineStr">
        <is>
          <t>T5–T6</t>
        </is>
      </c>
      <c r="E31" s="8" t="inlineStr">
        <is>
          <t>ACC</t>
        </is>
      </c>
      <c r="F31" s="8" t="inlineStr">
        <is>
          <t>Xác thực</t>
        </is>
      </c>
      <c r="G31" s="8" t="inlineStr">
        <is>
          <t>ACC-01</t>
        </is>
      </c>
      <c r="H31" s="8" t="inlineStr">
        <is>
          <t>SRS UC-AUTH-01, API 4.12</t>
        </is>
      </c>
      <c r="I31" s="8" t="inlineStr">
        <is>
          <t>Kiểm thử — Đăng ký tài khoản khách hàng</t>
        </is>
      </c>
      <c r="J31" s="8" t="n">
        <v>0.5</v>
      </c>
      <c r="K31" s="8" t="inlineStr">
        <is>
          <t>QC</t>
        </is>
      </c>
      <c r="L31" s="8" t="inlineStr">
        <is>
          <t>Khách</t>
        </is>
      </c>
      <c r="M31" s="8" t="inlineStr">
        <is>
          <t>Web</t>
        </is>
      </c>
      <c r="N31" s="8" t="inlineStr">
        <is>
          <t>T-015</t>
        </is>
      </c>
      <c r="O31" s="8" t="inlineStr">
        <is>
          <t>✓</t>
        </is>
      </c>
      <c r="P31" s="8" t="inlineStr"/>
      <c r="Q31" s="8" t="inlineStr">
        <is>
          <t>Web + API</t>
        </is>
      </c>
      <c r="R31" s="12" t="inlineStr"/>
      <c r="S31" s="12" t="inlineStr"/>
    </row>
    <row r="32">
      <c r="A32" s="8" t="inlineStr">
        <is>
          <t>T-017</t>
        </is>
      </c>
      <c r="B32" s="8" t="inlineStr">
        <is>
          <t>2 · Phát triển</t>
        </is>
      </c>
      <c r="C32" s="8" t="inlineStr">
        <is>
          <t>S1</t>
        </is>
      </c>
      <c r="D32" s="8" t="inlineStr">
        <is>
          <t>T5–T6</t>
        </is>
      </c>
      <c r="E32" s="8" t="inlineStr">
        <is>
          <t>ACC</t>
        </is>
      </c>
      <c r="F32" s="8" t="inlineStr">
        <is>
          <t>Xác thực</t>
        </is>
      </c>
      <c r="G32" s="8" t="inlineStr">
        <is>
          <t>ACC-02</t>
        </is>
      </c>
      <c r="H32" s="8" t="inlineStr">
        <is>
          <t>SRS UC-AUTH-02, API §2</t>
        </is>
      </c>
      <c r="I32" s="8" t="inlineStr">
        <is>
          <t>Thiết kế dữ liệu và API — Đăng nhập JWT, refresh token xoay vòng, đăng xuất</t>
        </is>
      </c>
      <c r="J32" s="8" t="n">
        <v>1.5</v>
      </c>
      <c r="K32" s="8" t="inlineStr">
        <is>
          <t>BE · Tech Lead</t>
        </is>
      </c>
      <c r="L32" s="8" t="inlineStr">
        <is>
          <t>Khách · Nội bộ</t>
        </is>
      </c>
      <c r="M32" s="8" t="inlineStr">
        <is>
          <t>Web + API</t>
        </is>
      </c>
      <c r="N32" s="8" t="inlineStr"/>
      <c r="O32" s="8" t="inlineStr">
        <is>
          <t>✓</t>
        </is>
      </c>
      <c r="P32" s="8" t="inlineStr"/>
      <c r="Q32" s="8" t="inlineStr">
        <is>
          <t>Web + API</t>
        </is>
      </c>
      <c r="R32" s="12" t="inlineStr"/>
      <c r="S32" s="12" t="inlineStr"/>
    </row>
    <row r="33">
      <c r="A33" s="8" t="inlineStr">
        <is>
          <t>T-018</t>
        </is>
      </c>
      <c r="B33" s="8" t="inlineStr">
        <is>
          <t>2 · Phát triển</t>
        </is>
      </c>
      <c r="C33" s="8" t="inlineStr">
        <is>
          <t>S1</t>
        </is>
      </c>
      <c r="D33" s="8" t="inlineStr">
        <is>
          <t>T5–T6</t>
        </is>
      </c>
      <c r="E33" s="8" t="inlineStr">
        <is>
          <t>ACC</t>
        </is>
      </c>
      <c r="F33" s="8" t="inlineStr">
        <is>
          <t>Xác thực</t>
        </is>
      </c>
      <c r="G33" s="8" t="inlineStr">
        <is>
          <t>ACC-02</t>
        </is>
      </c>
      <c r="H33" s="8" t="inlineStr">
        <is>
          <t>SRS UC-AUTH-02, API §2</t>
        </is>
      </c>
      <c r="I33" s="8" t="inlineStr">
        <is>
          <t>Giao diện và kết nối API — Đăng nhập JWT, refresh token xoay vòng, đăng xuất</t>
        </is>
      </c>
      <c r="J33" s="8" t="n">
        <v>1.5</v>
      </c>
      <c r="K33" s="8" t="inlineStr">
        <is>
          <t>FE · Design</t>
        </is>
      </c>
      <c r="L33" s="8" t="inlineStr">
        <is>
          <t>Khách · Nội bộ</t>
        </is>
      </c>
      <c r="M33" s="8" t="inlineStr">
        <is>
          <t>Web + API</t>
        </is>
      </c>
      <c r="N33" s="8" t="inlineStr">
        <is>
          <t>T-017</t>
        </is>
      </c>
      <c r="O33" s="8" t="inlineStr">
        <is>
          <t>✓</t>
        </is>
      </c>
      <c r="P33" s="8" t="inlineStr"/>
      <c r="Q33" s="8" t="inlineStr">
        <is>
          <t>Web + API</t>
        </is>
      </c>
      <c r="R33" s="12" t="inlineStr"/>
      <c r="S33" s="12" t="inlineStr"/>
    </row>
    <row r="34">
      <c r="A34" s="8" t="inlineStr">
        <is>
          <t>T-019</t>
        </is>
      </c>
      <c r="B34" s="8" t="inlineStr">
        <is>
          <t>2 · Phát triển</t>
        </is>
      </c>
      <c r="C34" s="8" t="inlineStr">
        <is>
          <t>S1</t>
        </is>
      </c>
      <c r="D34" s="8" t="inlineStr">
        <is>
          <t>T5–T6</t>
        </is>
      </c>
      <c r="E34" s="8" t="inlineStr">
        <is>
          <t>ACC</t>
        </is>
      </c>
      <c r="F34" s="8" t="inlineStr">
        <is>
          <t>Xác thực</t>
        </is>
      </c>
      <c r="G34" s="8" t="inlineStr">
        <is>
          <t>ACC-02</t>
        </is>
      </c>
      <c r="H34" s="8" t="inlineStr">
        <is>
          <t>SRS UC-AUTH-02, API §2</t>
        </is>
      </c>
      <c r="I34" s="8" t="inlineStr">
        <is>
          <t>Kiểm thử — Đăng nhập JWT, refresh token xoay vòng, đăng xuất</t>
        </is>
      </c>
      <c r="J34" s="8" t="n">
        <v>1</v>
      </c>
      <c r="K34" s="8" t="inlineStr">
        <is>
          <t>QC</t>
        </is>
      </c>
      <c r="L34" s="8" t="inlineStr">
        <is>
          <t>Khách · Nội bộ</t>
        </is>
      </c>
      <c r="M34" s="8" t="inlineStr">
        <is>
          <t>Web + API</t>
        </is>
      </c>
      <c r="N34" s="8" t="inlineStr">
        <is>
          <t>T-018</t>
        </is>
      </c>
      <c r="O34" s="8" t="inlineStr">
        <is>
          <t>✓</t>
        </is>
      </c>
      <c r="P34" s="8" t="inlineStr"/>
      <c r="Q34" s="8" t="inlineStr">
        <is>
          <t>Web + API</t>
        </is>
      </c>
      <c r="R34" s="12" t="inlineStr"/>
      <c r="S34" s="12" t="inlineStr"/>
    </row>
    <row r="35">
      <c r="A35" s="9" t="inlineStr"/>
      <c r="B35" s="9" t="inlineStr">
        <is>
          <t>2 · Phát triển</t>
        </is>
      </c>
      <c r="C35" s="9" t="inlineStr"/>
      <c r="D35" s="9" t="inlineStr"/>
      <c r="E35" s="9" t="inlineStr">
        <is>
          <t>CAT</t>
        </is>
      </c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</row>
    <row r="36">
      <c r="A36" s="11" t="inlineStr"/>
      <c r="B36" s="11" t="inlineStr">
        <is>
          <t>2 · Phát triển</t>
        </is>
      </c>
      <c r="C36" s="11" t="inlineStr"/>
      <c r="D36" s="11" t="inlineStr"/>
      <c r="E36" s="11" t="inlineStr">
        <is>
          <t>CAT</t>
        </is>
      </c>
      <c r="F36" s="11" t="inlineStr">
        <is>
          <t>Danh mục</t>
        </is>
      </c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1" t="inlineStr"/>
      <c r="S36" s="11" t="inlineStr"/>
    </row>
    <row r="37">
      <c r="A37" s="8" t="inlineStr">
        <is>
          <t>T-020</t>
        </is>
      </c>
      <c r="B37" s="8" t="inlineStr">
        <is>
          <t>2 · Phát triển</t>
        </is>
      </c>
      <c r="C37" s="8" t="inlineStr">
        <is>
          <t>S1</t>
        </is>
      </c>
      <c r="D37" s="8" t="inlineStr">
        <is>
          <t>T5–T6</t>
        </is>
      </c>
      <c r="E37" s="8" t="inlineStr">
        <is>
          <t>CAT</t>
        </is>
      </c>
      <c r="F37" s="8" t="inlineStr">
        <is>
          <t>Danh mục</t>
        </is>
      </c>
      <c r="G37" s="8" t="inlineStr">
        <is>
          <t>CAT-01</t>
        </is>
      </c>
      <c r="H37" s="8" t="inlineStr">
        <is>
          <t>API 4.9, DB 4.6</t>
        </is>
      </c>
      <c r="I37" s="8" t="inlineStr">
        <is>
          <t>Thiết kế dữ liệu và API — Danh mục tour: tạo, sửa, xoá</t>
        </is>
      </c>
      <c r="J37" s="8" t="n">
        <v>0.5</v>
      </c>
      <c r="K37" s="8" t="inlineStr">
        <is>
          <t>BE · Tech Lead</t>
        </is>
      </c>
      <c r="L37" s="8" t="inlineStr">
        <is>
          <t>Tour Manager</t>
        </is>
      </c>
      <c r="M37" s="8" t="inlineStr">
        <is>
          <t>Web quản trị</t>
        </is>
      </c>
      <c r="N37" s="8" t="inlineStr"/>
      <c r="O37" s="8" t="inlineStr"/>
      <c r="P37" s="8" t="inlineStr"/>
      <c r="Q37" s="8" t="inlineStr">
        <is>
          <t>Web + API</t>
        </is>
      </c>
      <c r="R37" s="12" t="inlineStr"/>
      <c r="S37" s="12" t="inlineStr"/>
    </row>
    <row r="38">
      <c r="A38" s="8" t="inlineStr">
        <is>
          <t>T-021</t>
        </is>
      </c>
      <c r="B38" s="8" t="inlineStr">
        <is>
          <t>2 · Phát triển</t>
        </is>
      </c>
      <c r="C38" s="8" t="inlineStr">
        <is>
          <t>S1</t>
        </is>
      </c>
      <c r="D38" s="8" t="inlineStr">
        <is>
          <t>T5–T6</t>
        </is>
      </c>
      <c r="E38" s="8" t="inlineStr">
        <is>
          <t>CAT</t>
        </is>
      </c>
      <c r="F38" s="8" t="inlineStr">
        <is>
          <t>Danh mục</t>
        </is>
      </c>
      <c r="G38" s="8" t="inlineStr">
        <is>
          <t>CAT-01</t>
        </is>
      </c>
      <c r="H38" s="8" t="inlineStr">
        <is>
          <t>API 4.9, DB 4.6</t>
        </is>
      </c>
      <c r="I38" s="8" t="inlineStr">
        <is>
          <t>Giao diện và kết nối API — Danh mục tour: tạo, sửa, xoá</t>
        </is>
      </c>
      <c r="J38" s="8" t="n">
        <v>0.5</v>
      </c>
      <c r="K38" s="8" t="inlineStr">
        <is>
          <t>FE · Design</t>
        </is>
      </c>
      <c r="L38" s="8" t="inlineStr">
        <is>
          <t>Tour Manager</t>
        </is>
      </c>
      <c r="M38" s="8" t="inlineStr">
        <is>
          <t>Web quản trị</t>
        </is>
      </c>
      <c r="N38" s="8" t="inlineStr">
        <is>
          <t>T-020</t>
        </is>
      </c>
      <c r="O38" s="8" t="inlineStr"/>
      <c r="P38" s="8" t="inlineStr"/>
      <c r="Q38" s="8" t="inlineStr">
        <is>
          <t>Web + API</t>
        </is>
      </c>
      <c r="R38" s="12" t="inlineStr"/>
      <c r="S38" s="12" t="inlineStr"/>
    </row>
    <row r="39">
      <c r="A39" s="8" t="inlineStr">
        <is>
          <t>T-022</t>
        </is>
      </c>
      <c r="B39" s="8" t="inlineStr">
        <is>
          <t>2 · Phát triển</t>
        </is>
      </c>
      <c r="C39" s="8" t="inlineStr">
        <is>
          <t>S1</t>
        </is>
      </c>
      <c r="D39" s="8" t="inlineStr">
        <is>
          <t>T5–T6</t>
        </is>
      </c>
      <c r="E39" s="8" t="inlineStr">
        <is>
          <t>CAT</t>
        </is>
      </c>
      <c r="F39" s="8" t="inlineStr">
        <is>
          <t>Danh mục</t>
        </is>
      </c>
      <c r="G39" s="8" t="inlineStr">
        <is>
          <t>CAT-01</t>
        </is>
      </c>
      <c r="H39" s="8" t="inlineStr">
        <is>
          <t>API 4.9, DB 4.6</t>
        </is>
      </c>
      <c r="I39" s="8" t="inlineStr">
        <is>
          <t>Kiểm thử — Danh mục tour: tạo, sửa, xoá</t>
        </is>
      </c>
      <c r="J39" s="8" t="n">
        <v>0.5</v>
      </c>
      <c r="K39" s="8" t="inlineStr">
        <is>
          <t>QC</t>
        </is>
      </c>
      <c r="L39" s="8" t="inlineStr">
        <is>
          <t>Tour Manager</t>
        </is>
      </c>
      <c r="M39" s="8" t="inlineStr">
        <is>
          <t>Web quản trị</t>
        </is>
      </c>
      <c r="N39" s="8" t="inlineStr">
        <is>
          <t>T-021</t>
        </is>
      </c>
      <c r="O39" s="8" t="inlineStr"/>
      <c r="P39" s="8" t="inlineStr"/>
      <c r="Q39" s="8" t="inlineStr">
        <is>
          <t>Web + API</t>
        </is>
      </c>
      <c r="R39" s="12" t="inlineStr"/>
      <c r="S39" s="12" t="inlineStr"/>
    </row>
    <row r="40">
      <c r="A40" s="8" t="inlineStr">
        <is>
          <t>T-023</t>
        </is>
      </c>
      <c r="B40" s="8" t="inlineStr">
        <is>
          <t>2 · Phát triển</t>
        </is>
      </c>
      <c r="C40" s="8" t="inlineStr">
        <is>
          <t>S1</t>
        </is>
      </c>
      <c r="D40" s="8" t="inlineStr">
        <is>
          <t>T5–T6</t>
        </is>
      </c>
      <c r="E40" s="8" t="inlineStr">
        <is>
          <t>CAT</t>
        </is>
      </c>
      <c r="F40" s="8" t="inlineStr">
        <is>
          <t>Danh mục</t>
        </is>
      </c>
      <c r="G40" s="8" t="inlineStr">
        <is>
          <t>CAT-02</t>
        </is>
      </c>
      <c r="H40" s="8" t="inlineStr">
        <is>
          <t>API 4.10, DB 4.8</t>
        </is>
      </c>
      <c r="I40" s="8" t="inlineStr">
        <is>
          <t>Thiết kế dữ liệu và API — Địa điểm: tạo, sửa, xoá</t>
        </is>
      </c>
      <c r="J40" s="8" t="n">
        <v>0.5</v>
      </c>
      <c r="K40" s="8" t="inlineStr">
        <is>
          <t>BE · Tech Lead</t>
        </is>
      </c>
      <c r="L40" s="8" t="inlineStr">
        <is>
          <t>Tour Manager</t>
        </is>
      </c>
      <c r="M40" s="8" t="inlineStr">
        <is>
          <t>Web quản trị</t>
        </is>
      </c>
      <c r="N40" s="8" t="inlineStr"/>
      <c r="O40" s="8" t="inlineStr"/>
      <c r="P40" s="8" t="inlineStr"/>
      <c r="Q40" s="8" t="inlineStr">
        <is>
          <t>Web + API</t>
        </is>
      </c>
      <c r="R40" s="12" t="inlineStr"/>
      <c r="S40" s="12" t="inlineStr"/>
    </row>
    <row r="41">
      <c r="A41" s="8" t="inlineStr">
        <is>
          <t>T-024</t>
        </is>
      </c>
      <c r="B41" s="8" t="inlineStr">
        <is>
          <t>2 · Phát triển</t>
        </is>
      </c>
      <c r="C41" s="8" t="inlineStr">
        <is>
          <t>S1</t>
        </is>
      </c>
      <c r="D41" s="8" t="inlineStr">
        <is>
          <t>T5–T6</t>
        </is>
      </c>
      <c r="E41" s="8" t="inlineStr">
        <is>
          <t>CAT</t>
        </is>
      </c>
      <c r="F41" s="8" t="inlineStr">
        <is>
          <t>Danh mục</t>
        </is>
      </c>
      <c r="G41" s="8" t="inlineStr">
        <is>
          <t>CAT-02</t>
        </is>
      </c>
      <c r="H41" s="8" t="inlineStr">
        <is>
          <t>API 4.10, DB 4.8</t>
        </is>
      </c>
      <c r="I41" s="8" t="inlineStr">
        <is>
          <t>Giao diện và kết nối API — Địa điểm: tạo, sửa, xoá</t>
        </is>
      </c>
      <c r="J41" s="8" t="n">
        <v>0.5</v>
      </c>
      <c r="K41" s="8" t="inlineStr">
        <is>
          <t>FE · Design</t>
        </is>
      </c>
      <c r="L41" s="8" t="inlineStr">
        <is>
          <t>Tour Manager</t>
        </is>
      </c>
      <c r="M41" s="8" t="inlineStr">
        <is>
          <t>Web quản trị</t>
        </is>
      </c>
      <c r="N41" s="8" t="inlineStr">
        <is>
          <t>T-023</t>
        </is>
      </c>
      <c r="O41" s="8" t="inlineStr"/>
      <c r="P41" s="8" t="inlineStr"/>
      <c r="Q41" s="8" t="inlineStr">
        <is>
          <t>Web + API</t>
        </is>
      </c>
      <c r="R41" s="12" t="inlineStr"/>
      <c r="S41" s="12" t="inlineStr"/>
    </row>
    <row r="42">
      <c r="A42" s="8" t="inlineStr">
        <is>
          <t>T-025</t>
        </is>
      </c>
      <c r="B42" s="8" t="inlineStr">
        <is>
          <t>2 · Phát triển</t>
        </is>
      </c>
      <c r="C42" s="8" t="inlineStr">
        <is>
          <t>S1</t>
        </is>
      </c>
      <c r="D42" s="8" t="inlineStr">
        <is>
          <t>T5–T6</t>
        </is>
      </c>
      <c r="E42" s="8" t="inlineStr">
        <is>
          <t>CAT</t>
        </is>
      </c>
      <c r="F42" s="8" t="inlineStr">
        <is>
          <t>Danh mục</t>
        </is>
      </c>
      <c r="G42" s="8" t="inlineStr">
        <is>
          <t>CAT-02</t>
        </is>
      </c>
      <c r="H42" s="8" t="inlineStr">
        <is>
          <t>API 4.10, DB 4.8</t>
        </is>
      </c>
      <c r="I42" s="8" t="inlineStr">
        <is>
          <t>Kiểm thử — Địa điểm: tạo, sửa, xoá</t>
        </is>
      </c>
      <c r="J42" s="8" t="n">
        <v>0.5</v>
      </c>
      <c r="K42" s="8" t="inlineStr">
        <is>
          <t>QC</t>
        </is>
      </c>
      <c r="L42" s="8" t="inlineStr">
        <is>
          <t>Tour Manager</t>
        </is>
      </c>
      <c r="M42" s="8" t="inlineStr">
        <is>
          <t>Web quản trị</t>
        </is>
      </c>
      <c r="N42" s="8" t="inlineStr">
        <is>
          <t>T-024</t>
        </is>
      </c>
      <c r="O42" s="8" t="inlineStr"/>
      <c r="P42" s="8" t="inlineStr"/>
      <c r="Q42" s="8" t="inlineStr">
        <is>
          <t>Web + API</t>
        </is>
      </c>
      <c r="R42" s="12" t="inlineStr"/>
      <c r="S42" s="12" t="inlineStr"/>
    </row>
    <row r="43">
      <c r="A43" s="11" t="inlineStr"/>
      <c r="B43" s="11" t="inlineStr">
        <is>
          <t>2 · Phát triển</t>
        </is>
      </c>
      <c r="C43" s="11" t="inlineStr"/>
      <c r="D43" s="11" t="inlineStr"/>
      <c r="E43" s="11" t="inlineStr">
        <is>
          <t>CAT</t>
        </is>
      </c>
      <c r="F43" s="11" t="inlineStr">
        <is>
          <t>Tour</t>
        </is>
      </c>
      <c r="G43" s="11" t="inlineStr"/>
      <c r="H43" s="11" t="inlineStr"/>
      <c r="I43" s="11" t="inlineStr"/>
      <c r="J43" s="11" t="inlineStr"/>
      <c r="K43" s="11" t="inlineStr"/>
      <c r="L43" s="11" t="inlineStr"/>
      <c r="M43" s="11" t="inlineStr"/>
      <c r="N43" s="11" t="inlineStr"/>
      <c r="O43" s="11" t="inlineStr"/>
      <c r="P43" s="11" t="inlineStr"/>
      <c r="Q43" s="11" t="inlineStr"/>
      <c r="R43" s="11" t="inlineStr"/>
      <c r="S43" s="11" t="inlineStr"/>
    </row>
    <row r="44">
      <c r="A44" s="8" t="inlineStr">
        <is>
          <t>T-026</t>
        </is>
      </c>
      <c r="B44" s="8" t="inlineStr">
        <is>
          <t>2 · Phát triển</t>
        </is>
      </c>
      <c r="C44" s="8" t="inlineStr">
        <is>
          <t>S1</t>
        </is>
      </c>
      <c r="D44" s="8" t="inlineStr">
        <is>
          <t>T5–T6</t>
        </is>
      </c>
      <c r="E44" s="8" t="inlineStr">
        <is>
          <t>CAT</t>
        </is>
      </c>
      <c r="F44" s="8" t="inlineStr">
        <is>
          <t>Tour</t>
        </is>
      </c>
      <c r="G44" s="8" t="inlineStr">
        <is>
          <t>CAT-03</t>
        </is>
      </c>
      <c r="H44" s="8" t="inlineStr">
        <is>
          <t>SRS UC-TM-01..03, 9.2; API 4.7</t>
        </is>
      </c>
      <c r="I44" s="8" t="inlineStr">
        <is>
          <t>Thiết kế dữ liệu và API — Tour: tạo, sửa, ẩn, xoá mềm; mã tour duy nhất; không xoá khi đã có booking</t>
        </is>
      </c>
      <c r="J44" s="8" t="n">
        <v>1.5</v>
      </c>
      <c r="K44" s="8" t="inlineStr">
        <is>
          <t>BE · Tech Lead</t>
        </is>
      </c>
      <c r="L44" s="8" t="inlineStr">
        <is>
          <t>Tour Manager</t>
        </is>
      </c>
      <c r="M44" s="8" t="inlineStr">
        <is>
          <t>Web quản trị</t>
        </is>
      </c>
      <c r="N44" s="8" t="inlineStr"/>
      <c r="O44" s="8" t="inlineStr">
        <is>
          <t>✓</t>
        </is>
      </c>
      <c r="P44" s="8" t="inlineStr"/>
      <c r="Q44" s="8" t="inlineStr">
        <is>
          <t>Web + API</t>
        </is>
      </c>
      <c r="R44" s="12" t="inlineStr"/>
      <c r="S44" s="12" t="inlineStr"/>
    </row>
    <row r="45">
      <c r="A45" s="8" t="inlineStr">
        <is>
          <t>T-027</t>
        </is>
      </c>
      <c r="B45" s="8" t="inlineStr">
        <is>
          <t>2 · Phát triển</t>
        </is>
      </c>
      <c r="C45" s="8" t="inlineStr">
        <is>
          <t>S1</t>
        </is>
      </c>
      <c r="D45" s="8" t="inlineStr">
        <is>
          <t>T5–T6</t>
        </is>
      </c>
      <c r="E45" s="8" t="inlineStr">
        <is>
          <t>CAT</t>
        </is>
      </c>
      <c r="F45" s="8" t="inlineStr">
        <is>
          <t>Tour</t>
        </is>
      </c>
      <c r="G45" s="8" t="inlineStr">
        <is>
          <t>CAT-03</t>
        </is>
      </c>
      <c r="H45" s="8" t="inlineStr">
        <is>
          <t>SRS UC-TM-01..03, 9.2; API 4.7</t>
        </is>
      </c>
      <c r="I45" s="8" t="inlineStr">
        <is>
          <t>Giao diện và kết nối API — Tour: tạo, sửa, ẩn, xoá mềm; mã tour duy nhất; không xoá khi đã có booking</t>
        </is>
      </c>
      <c r="J45" s="8" t="n">
        <v>1.5</v>
      </c>
      <c r="K45" s="8" t="inlineStr">
        <is>
          <t>FE · Design</t>
        </is>
      </c>
      <c r="L45" s="8" t="inlineStr">
        <is>
          <t>Tour Manager</t>
        </is>
      </c>
      <c r="M45" s="8" t="inlineStr">
        <is>
          <t>Web quản trị</t>
        </is>
      </c>
      <c r="N45" s="8" t="inlineStr">
        <is>
          <t>T-026</t>
        </is>
      </c>
      <c r="O45" s="8" t="inlineStr">
        <is>
          <t>✓</t>
        </is>
      </c>
      <c r="P45" s="8" t="inlineStr"/>
      <c r="Q45" s="8" t="inlineStr">
        <is>
          <t>Web + API</t>
        </is>
      </c>
      <c r="R45" s="12" t="inlineStr"/>
      <c r="S45" s="12" t="inlineStr"/>
    </row>
    <row r="46">
      <c r="A46" s="8" t="inlineStr">
        <is>
          <t>T-028</t>
        </is>
      </c>
      <c r="B46" s="8" t="inlineStr">
        <is>
          <t>2 · Phát triển</t>
        </is>
      </c>
      <c r="C46" s="8" t="inlineStr">
        <is>
          <t>S1</t>
        </is>
      </c>
      <c r="D46" s="8" t="inlineStr">
        <is>
          <t>T5–T6</t>
        </is>
      </c>
      <c r="E46" s="8" t="inlineStr">
        <is>
          <t>CAT</t>
        </is>
      </c>
      <c r="F46" s="8" t="inlineStr">
        <is>
          <t>Tour</t>
        </is>
      </c>
      <c r="G46" s="8" t="inlineStr">
        <is>
          <t>CAT-03</t>
        </is>
      </c>
      <c r="H46" s="8" t="inlineStr">
        <is>
          <t>SRS UC-TM-01..03, 9.2; API 4.7</t>
        </is>
      </c>
      <c r="I46" s="8" t="inlineStr">
        <is>
          <t>Kiểm thử — Tour: tạo, sửa, ẩn, xoá mềm; mã tour duy nhất; không xoá khi đã có booking</t>
        </is>
      </c>
      <c r="J46" s="8" t="n">
        <v>1</v>
      </c>
      <c r="K46" s="8" t="inlineStr">
        <is>
          <t>QC</t>
        </is>
      </c>
      <c r="L46" s="8" t="inlineStr">
        <is>
          <t>Tour Manager</t>
        </is>
      </c>
      <c r="M46" s="8" t="inlineStr">
        <is>
          <t>Web quản trị</t>
        </is>
      </c>
      <c r="N46" s="8" t="inlineStr">
        <is>
          <t>T-027</t>
        </is>
      </c>
      <c r="O46" s="8" t="inlineStr">
        <is>
          <t>✓</t>
        </is>
      </c>
      <c r="P46" s="8" t="inlineStr"/>
      <c r="Q46" s="8" t="inlineStr">
        <is>
          <t>Web + API</t>
        </is>
      </c>
      <c r="R46" s="12" t="inlineStr"/>
      <c r="S46" s="12" t="inlineStr"/>
    </row>
    <row r="47">
      <c r="A47" s="8" t="inlineStr">
        <is>
          <t>T-029</t>
        </is>
      </c>
      <c r="B47" s="8" t="inlineStr">
        <is>
          <t>2 · Phát triển</t>
        </is>
      </c>
      <c r="C47" s="8" t="inlineStr">
        <is>
          <t>S1</t>
        </is>
      </c>
      <c r="D47" s="8" t="inlineStr">
        <is>
          <t>T5–T6</t>
        </is>
      </c>
      <c r="E47" s="8" t="inlineStr">
        <is>
          <t>CAT</t>
        </is>
      </c>
      <c r="F47" s="8" t="inlineStr">
        <is>
          <t>Tour</t>
        </is>
      </c>
      <c r="G47" s="8" t="inlineStr">
        <is>
          <t>CAT-04</t>
        </is>
      </c>
      <c r="H47" s="8" t="inlineStr">
        <is>
          <t>API 4.11, DB 4.9</t>
        </is>
      </c>
      <c r="I47" s="8" t="inlineStr">
        <is>
          <t>Thiết kế dữ liệu và API — Lịch trình tour: các địa điểm theo thứ tự</t>
        </is>
      </c>
      <c r="J47" s="8" t="n">
        <v>1</v>
      </c>
      <c r="K47" s="8" t="inlineStr">
        <is>
          <t>BE · Tech Lead</t>
        </is>
      </c>
      <c r="L47" s="8" t="inlineStr">
        <is>
          <t>Tour Manager</t>
        </is>
      </c>
      <c r="M47" s="8" t="inlineStr">
        <is>
          <t>Web quản trị</t>
        </is>
      </c>
      <c r="N47" s="8" t="inlineStr"/>
      <c r="O47" s="8" t="inlineStr"/>
      <c r="P47" s="8" t="inlineStr"/>
      <c r="Q47" s="8" t="inlineStr">
        <is>
          <t>Web + API</t>
        </is>
      </c>
      <c r="R47" s="12" t="inlineStr"/>
      <c r="S47" s="12" t="inlineStr"/>
    </row>
    <row r="48">
      <c r="A48" s="8" t="inlineStr">
        <is>
          <t>T-030</t>
        </is>
      </c>
      <c r="B48" s="8" t="inlineStr">
        <is>
          <t>2 · Phát triển</t>
        </is>
      </c>
      <c r="C48" s="8" t="inlineStr">
        <is>
          <t>S1</t>
        </is>
      </c>
      <c r="D48" s="8" t="inlineStr">
        <is>
          <t>T5–T6</t>
        </is>
      </c>
      <c r="E48" s="8" t="inlineStr">
        <is>
          <t>CAT</t>
        </is>
      </c>
      <c r="F48" s="8" t="inlineStr">
        <is>
          <t>Tour</t>
        </is>
      </c>
      <c r="G48" s="8" t="inlineStr">
        <is>
          <t>CAT-04</t>
        </is>
      </c>
      <c r="H48" s="8" t="inlineStr">
        <is>
          <t>API 4.11, DB 4.9</t>
        </is>
      </c>
      <c r="I48" s="8" t="inlineStr">
        <is>
          <t>Giao diện và kết nối API — Lịch trình tour: các địa điểm theo thứ tự</t>
        </is>
      </c>
      <c r="J48" s="8" t="n">
        <v>0.5</v>
      </c>
      <c r="K48" s="8" t="inlineStr">
        <is>
          <t>FE · Design</t>
        </is>
      </c>
      <c r="L48" s="8" t="inlineStr">
        <is>
          <t>Tour Manager</t>
        </is>
      </c>
      <c r="M48" s="8" t="inlineStr">
        <is>
          <t>Web quản trị</t>
        </is>
      </c>
      <c r="N48" s="8" t="inlineStr">
        <is>
          <t>T-029</t>
        </is>
      </c>
      <c r="O48" s="8" t="inlineStr"/>
      <c r="P48" s="8" t="inlineStr"/>
      <c r="Q48" s="8" t="inlineStr">
        <is>
          <t>Web + API</t>
        </is>
      </c>
      <c r="R48" s="12" t="inlineStr"/>
      <c r="S48" s="12" t="inlineStr"/>
    </row>
    <row r="49">
      <c r="A49" s="8" t="inlineStr">
        <is>
          <t>T-031</t>
        </is>
      </c>
      <c r="B49" s="8" t="inlineStr">
        <is>
          <t>2 · Phát triển</t>
        </is>
      </c>
      <c r="C49" s="8" t="inlineStr">
        <is>
          <t>S1</t>
        </is>
      </c>
      <c r="D49" s="8" t="inlineStr">
        <is>
          <t>T5–T6</t>
        </is>
      </c>
      <c r="E49" s="8" t="inlineStr">
        <is>
          <t>CAT</t>
        </is>
      </c>
      <c r="F49" s="8" t="inlineStr">
        <is>
          <t>Tour</t>
        </is>
      </c>
      <c r="G49" s="8" t="inlineStr">
        <is>
          <t>CAT-04</t>
        </is>
      </c>
      <c r="H49" s="8" t="inlineStr">
        <is>
          <t>API 4.11, DB 4.9</t>
        </is>
      </c>
      <c r="I49" s="8" t="inlineStr">
        <is>
          <t>Kiểm thử — Lịch trình tour: các địa điểm theo thứ tự</t>
        </is>
      </c>
      <c r="J49" s="8" t="n">
        <v>0.5</v>
      </c>
      <c r="K49" s="8" t="inlineStr">
        <is>
          <t>QC</t>
        </is>
      </c>
      <c r="L49" s="8" t="inlineStr">
        <is>
          <t>Tour Manager</t>
        </is>
      </c>
      <c r="M49" s="8" t="inlineStr">
        <is>
          <t>Web quản trị</t>
        </is>
      </c>
      <c r="N49" s="8" t="inlineStr">
        <is>
          <t>T-030</t>
        </is>
      </c>
      <c r="O49" s="8" t="inlineStr"/>
      <c r="P49" s="8" t="inlineStr"/>
      <c r="Q49" s="8" t="inlineStr">
        <is>
          <t>Web + API</t>
        </is>
      </c>
      <c r="R49" s="12" t="inlineStr"/>
      <c r="S49" s="12" t="inlineStr"/>
    </row>
    <row r="50">
      <c r="A50" s="11" t="inlineStr"/>
      <c r="B50" s="11" t="inlineStr">
        <is>
          <t>2 · Phát triển</t>
        </is>
      </c>
      <c r="C50" s="11" t="inlineStr"/>
      <c r="D50" s="11" t="inlineStr"/>
      <c r="E50" s="11" t="inlineStr">
        <is>
          <t>CAT</t>
        </is>
      </c>
      <c r="F50" s="11" t="inlineStr">
        <is>
          <t>Tìm kiếm</t>
        </is>
      </c>
      <c r="G50" s="11" t="inlineStr"/>
      <c r="H50" s="11" t="inlineStr"/>
      <c r="I50" s="11" t="inlineStr"/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11" t="inlineStr"/>
      <c r="S50" s="11" t="inlineStr"/>
    </row>
    <row r="51">
      <c r="A51" s="8" t="inlineStr">
        <is>
          <t>T-032</t>
        </is>
      </c>
      <c r="B51" s="8" t="inlineStr">
        <is>
          <t>2 · Phát triển</t>
        </is>
      </c>
      <c r="C51" s="8" t="inlineStr">
        <is>
          <t>S1</t>
        </is>
      </c>
      <c r="D51" s="8" t="inlineStr">
        <is>
          <t>T5–T6</t>
        </is>
      </c>
      <c r="E51" s="8" t="inlineStr">
        <is>
          <t>CAT</t>
        </is>
      </c>
      <c r="F51" s="8" t="inlineStr">
        <is>
          <t>Tìm kiếm</t>
        </is>
      </c>
      <c r="G51" s="8" t="inlineStr">
        <is>
          <t>CAT-06</t>
        </is>
      </c>
      <c r="H51" s="8" t="inlineStr">
        <is>
          <t>SRS 4.2; API 4.7</t>
        </is>
      </c>
      <c r="I51" s="8" t="inlineStr">
        <is>
          <t>Thiết kế dữ liệu và API — Tìm và lọc tour theo từ khoá, danh mục, khoảng giá, ngày khởi hành; phân trang</t>
        </is>
      </c>
      <c r="J51" s="8" t="n">
        <v>1.5</v>
      </c>
      <c r="K51" s="8" t="inlineStr">
        <is>
          <t>BE · Tech Lead</t>
        </is>
      </c>
      <c r="L51" s="8" t="inlineStr">
        <is>
          <t>Khách</t>
        </is>
      </c>
      <c r="M51" s="8" t="inlineStr">
        <is>
          <t>Web</t>
        </is>
      </c>
      <c r="N51" s="8" t="inlineStr"/>
      <c r="O51" s="8" t="inlineStr">
        <is>
          <t>✓</t>
        </is>
      </c>
      <c r="P51" s="8" t="inlineStr"/>
      <c r="Q51" s="8" t="inlineStr">
        <is>
          <t>Web + API</t>
        </is>
      </c>
      <c r="R51" s="12" t="inlineStr"/>
      <c r="S51" s="12" t="inlineStr"/>
    </row>
    <row r="52">
      <c r="A52" s="8" t="inlineStr">
        <is>
          <t>T-033</t>
        </is>
      </c>
      <c r="B52" s="8" t="inlineStr">
        <is>
          <t>2 · Phát triển</t>
        </is>
      </c>
      <c r="C52" s="8" t="inlineStr">
        <is>
          <t>S1</t>
        </is>
      </c>
      <c r="D52" s="8" t="inlineStr">
        <is>
          <t>T5–T6</t>
        </is>
      </c>
      <c r="E52" s="8" t="inlineStr">
        <is>
          <t>CAT</t>
        </is>
      </c>
      <c r="F52" s="8" t="inlineStr">
        <is>
          <t>Tìm kiếm</t>
        </is>
      </c>
      <c r="G52" s="8" t="inlineStr">
        <is>
          <t>CAT-06</t>
        </is>
      </c>
      <c r="H52" s="8" t="inlineStr">
        <is>
          <t>SRS 4.2; API 4.7</t>
        </is>
      </c>
      <c r="I52" s="8" t="inlineStr">
        <is>
          <t>Giao diện và kết nối API — Tìm và lọc tour theo từ khoá, danh mục, khoảng giá, ngày khởi hành; phân trang</t>
        </is>
      </c>
      <c r="J52" s="8" t="n">
        <v>1</v>
      </c>
      <c r="K52" s="8" t="inlineStr">
        <is>
          <t>FE · Design</t>
        </is>
      </c>
      <c r="L52" s="8" t="inlineStr">
        <is>
          <t>Khách</t>
        </is>
      </c>
      <c r="M52" s="8" t="inlineStr">
        <is>
          <t>Web</t>
        </is>
      </c>
      <c r="N52" s="8" t="inlineStr">
        <is>
          <t>T-032</t>
        </is>
      </c>
      <c r="O52" s="8" t="inlineStr">
        <is>
          <t>✓</t>
        </is>
      </c>
      <c r="P52" s="8" t="inlineStr"/>
      <c r="Q52" s="8" t="inlineStr">
        <is>
          <t>Web + API</t>
        </is>
      </c>
      <c r="R52" s="12" t="inlineStr"/>
      <c r="S52" s="12" t="inlineStr"/>
    </row>
    <row r="53">
      <c r="A53" s="8" t="inlineStr">
        <is>
          <t>T-034</t>
        </is>
      </c>
      <c r="B53" s="8" t="inlineStr">
        <is>
          <t>2 · Phát triển</t>
        </is>
      </c>
      <c r="C53" s="8" t="inlineStr">
        <is>
          <t>S1</t>
        </is>
      </c>
      <c r="D53" s="8" t="inlineStr">
        <is>
          <t>T5–T6</t>
        </is>
      </c>
      <c r="E53" s="8" t="inlineStr">
        <is>
          <t>CAT</t>
        </is>
      </c>
      <c r="F53" s="8" t="inlineStr">
        <is>
          <t>Tìm kiếm</t>
        </is>
      </c>
      <c r="G53" s="8" t="inlineStr">
        <is>
          <t>CAT-06</t>
        </is>
      </c>
      <c r="H53" s="8" t="inlineStr">
        <is>
          <t>SRS 4.2; API 4.7</t>
        </is>
      </c>
      <c r="I53" s="8" t="inlineStr">
        <is>
          <t>Kiểm thử — Tìm và lọc tour theo từ khoá, danh mục, khoảng giá, ngày khởi hành; phân trang</t>
        </is>
      </c>
      <c r="J53" s="8" t="n">
        <v>1</v>
      </c>
      <c r="K53" s="8" t="inlineStr">
        <is>
          <t>QC</t>
        </is>
      </c>
      <c r="L53" s="8" t="inlineStr">
        <is>
          <t>Khách</t>
        </is>
      </c>
      <c r="M53" s="8" t="inlineStr">
        <is>
          <t>Web</t>
        </is>
      </c>
      <c r="N53" s="8" t="inlineStr">
        <is>
          <t>T-033</t>
        </is>
      </c>
      <c r="O53" s="8" t="inlineStr">
        <is>
          <t>✓</t>
        </is>
      </c>
      <c r="P53" s="8" t="inlineStr"/>
      <c r="Q53" s="8" t="inlineStr">
        <is>
          <t>Web + API</t>
        </is>
      </c>
      <c r="R53" s="12" t="inlineStr"/>
      <c r="S53" s="12" t="inlineStr"/>
    </row>
    <row r="54">
      <c r="A54" s="8" t="inlineStr">
        <is>
          <t>T-035</t>
        </is>
      </c>
      <c r="B54" s="8" t="inlineStr">
        <is>
          <t>2 · Phát triển</t>
        </is>
      </c>
      <c r="C54" s="8" t="inlineStr">
        <is>
          <t>S1</t>
        </is>
      </c>
      <c r="D54" s="8" t="inlineStr">
        <is>
          <t>T5–T6</t>
        </is>
      </c>
      <c r="E54" s="8" t="inlineStr">
        <is>
          <t>CAT</t>
        </is>
      </c>
      <c r="F54" s="8" t="inlineStr">
        <is>
          <t>Tìm kiếm</t>
        </is>
      </c>
      <c r="G54" s="8" t="inlineStr">
        <is>
          <t>CAT-07</t>
        </is>
      </c>
      <c r="H54" s="8" t="inlineStr">
        <is>
          <t>SRS 4.3, 3.1.1.3</t>
        </is>
      </c>
      <c r="I54" s="8" t="inlineStr">
        <is>
          <t>Dựng giao diện và kết nối API — Trang chi tiết tour công khai: mô tả, lịch trình, ảnh, các đợt khởi hành còn chỗ, đánh giá</t>
        </is>
      </c>
      <c r="J54" s="8" t="n">
        <v>2</v>
      </c>
      <c r="K54" s="8" t="inlineStr">
        <is>
          <t>FE · Design</t>
        </is>
      </c>
      <c r="L54" s="8" t="inlineStr">
        <is>
          <t>Khách</t>
        </is>
      </c>
      <c r="M54" s="8" t="inlineStr">
        <is>
          <t>Web</t>
        </is>
      </c>
      <c r="N54" s="8" t="inlineStr"/>
      <c r="O54" s="8" t="inlineStr">
        <is>
          <t>✓</t>
        </is>
      </c>
      <c r="P54" s="8" t="inlineStr"/>
      <c r="Q54" s="8" t="inlineStr">
        <is>
          <t>Web + API</t>
        </is>
      </c>
      <c r="R54" s="12" t="inlineStr"/>
      <c r="S54" s="12" t="inlineStr"/>
    </row>
    <row r="55">
      <c r="A55" s="8" t="inlineStr">
        <is>
          <t>T-036</t>
        </is>
      </c>
      <c r="B55" s="8" t="inlineStr">
        <is>
          <t>2 · Phát triển</t>
        </is>
      </c>
      <c r="C55" s="8" t="inlineStr">
        <is>
          <t>S1</t>
        </is>
      </c>
      <c r="D55" s="8" t="inlineStr">
        <is>
          <t>T5–T6</t>
        </is>
      </c>
      <c r="E55" s="8" t="inlineStr">
        <is>
          <t>CAT</t>
        </is>
      </c>
      <c r="F55" s="8" t="inlineStr">
        <is>
          <t>Tìm kiếm</t>
        </is>
      </c>
      <c r="G55" s="8" t="inlineStr">
        <is>
          <t>CAT-07</t>
        </is>
      </c>
      <c r="H55" s="8" t="inlineStr">
        <is>
          <t>SRS 4.3, 3.1.1.3</t>
        </is>
      </c>
      <c r="I55" s="8" t="inlineStr">
        <is>
          <t>Kiểm thử giao diện — Trang chi tiết tour công khai: mô tả, lịch trình, ảnh, các đợt khởi hành còn chỗ, đánh giá</t>
        </is>
      </c>
      <c r="J55" s="8" t="n">
        <v>1</v>
      </c>
      <c r="K55" s="8" t="inlineStr">
        <is>
          <t>QC</t>
        </is>
      </c>
      <c r="L55" s="8" t="inlineStr">
        <is>
          <t>Khách</t>
        </is>
      </c>
      <c r="M55" s="8" t="inlineStr">
        <is>
          <t>Web</t>
        </is>
      </c>
      <c r="N55" s="8" t="inlineStr">
        <is>
          <t>T-035</t>
        </is>
      </c>
      <c r="O55" s="8" t="inlineStr">
        <is>
          <t>✓</t>
        </is>
      </c>
      <c r="P55" s="8" t="inlineStr"/>
      <c r="Q55" s="8" t="inlineStr">
        <is>
          <t>Web + API</t>
        </is>
      </c>
      <c r="R55" s="12" t="inlineStr"/>
      <c r="S55" s="12" t="inlineStr"/>
    </row>
    <row r="56">
      <c r="A56" s="9" t="inlineStr"/>
      <c r="B56" s="9" t="inlineStr">
        <is>
          <t>2 · Phát triển</t>
        </is>
      </c>
      <c r="C56" s="9" t="inlineStr"/>
      <c r="D56" s="9" t="inlineStr"/>
      <c r="E56" s="9" t="inlineStr">
        <is>
          <t>DEP</t>
        </is>
      </c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</row>
    <row r="57">
      <c r="A57" s="11" t="inlineStr"/>
      <c r="B57" s="11" t="inlineStr">
        <is>
          <t>2 · Phát triển</t>
        </is>
      </c>
      <c r="C57" s="11" t="inlineStr"/>
      <c r="D57" s="11" t="inlineStr"/>
      <c r="E57" s="11" t="inlineStr">
        <is>
          <t>DEP</t>
        </is>
      </c>
      <c r="F57" s="11" t="inlineStr">
        <is>
          <t>Lịch khởi hành</t>
        </is>
      </c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1" t="inlineStr"/>
      <c r="P57" s="11" t="inlineStr"/>
      <c r="Q57" s="11" t="inlineStr"/>
      <c r="R57" s="11" t="inlineStr"/>
      <c r="S57" s="11" t="inlineStr"/>
    </row>
    <row r="58">
      <c r="A58" s="8" t="inlineStr">
        <is>
          <t>T-037</t>
        </is>
      </c>
      <c r="B58" s="8" t="inlineStr">
        <is>
          <t>2 · Phát triển</t>
        </is>
      </c>
      <c r="C58" s="8" t="inlineStr">
        <is>
          <t>S1</t>
        </is>
      </c>
      <c r="D58" s="8" t="inlineStr">
        <is>
          <t>T5–T6</t>
        </is>
      </c>
      <c r="E58" s="8" t="inlineStr">
        <is>
          <t>DEP</t>
        </is>
      </c>
      <c r="F58" s="8" t="inlineStr">
        <is>
          <t>Lịch khởi hành</t>
        </is>
      </c>
      <c r="G58" s="8" t="inlineStr">
        <is>
          <t>DEP-01</t>
        </is>
      </c>
      <c r="H58" s="8" t="inlineStr">
        <is>
          <t>SRS UC-TDM-01..03; API 4.1; DB 4.10</t>
        </is>
      </c>
      <c r="I58" s="8" t="inlineStr">
        <is>
          <t>Thiết kế dữ liệu và API — Đợt khởi hành: tạo, sửa, huỷ; sức chứa; giá riêng theo đợt và vé trẻ em</t>
        </is>
      </c>
      <c r="J58" s="8" t="n">
        <v>1.5</v>
      </c>
      <c r="K58" s="8" t="inlineStr">
        <is>
          <t>BE · Tech Lead</t>
        </is>
      </c>
      <c r="L58" s="8" t="inlineStr">
        <is>
          <t>Tour Manager</t>
        </is>
      </c>
      <c r="M58" s="8" t="inlineStr">
        <is>
          <t>Web quản trị</t>
        </is>
      </c>
      <c r="N58" s="8" t="inlineStr"/>
      <c r="O58" s="8" t="inlineStr">
        <is>
          <t>✓</t>
        </is>
      </c>
      <c r="P58" s="8" t="inlineStr"/>
      <c r="Q58" s="8" t="inlineStr">
        <is>
          <t>Web + API</t>
        </is>
      </c>
      <c r="R58" s="12" t="inlineStr"/>
      <c r="S58" s="12" t="inlineStr"/>
    </row>
    <row r="59">
      <c r="A59" s="8" t="inlineStr">
        <is>
          <t>T-038</t>
        </is>
      </c>
      <c r="B59" s="8" t="inlineStr">
        <is>
          <t>2 · Phát triển</t>
        </is>
      </c>
      <c r="C59" s="8" t="inlineStr">
        <is>
          <t>S1</t>
        </is>
      </c>
      <c r="D59" s="8" t="inlineStr">
        <is>
          <t>T5–T6</t>
        </is>
      </c>
      <c r="E59" s="8" t="inlineStr">
        <is>
          <t>DEP</t>
        </is>
      </c>
      <c r="F59" s="8" t="inlineStr">
        <is>
          <t>Lịch khởi hành</t>
        </is>
      </c>
      <c r="G59" s="8" t="inlineStr">
        <is>
          <t>DEP-01</t>
        </is>
      </c>
      <c r="H59" s="8" t="inlineStr">
        <is>
          <t>SRS UC-TDM-01..03; API 4.1; DB 4.10</t>
        </is>
      </c>
      <c r="I59" s="8" t="inlineStr">
        <is>
          <t>Giao diện và kết nối API — Đợt khởi hành: tạo, sửa, huỷ; sức chứa; giá riêng theo đợt và vé trẻ em</t>
        </is>
      </c>
      <c r="J59" s="8" t="n">
        <v>1.5</v>
      </c>
      <c r="K59" s="8" t="inlineStr">
        <is>
          <t>FE · Design</t>
        </is>
      </c>
      <c r="L59" s="8" t="inlineStr">
        <is>
          <t>Tour Manager</t>
        </is>
      </c>
      <c r="M59" s="8" t="inlineStr">
        <is>
          <t>Web quản trị</t>
        </is>
      </c>
      <c r="N59" s="8" t="inlineStr">
        <is>
          <t>T-037</t>
        </is>
      </c>
      <c r="O59" s="8" t="inlineStr">
        <is>
          <t>✓</t>
        </is>
      </c>
      <c r="P59" s="8" t="inlineStr"/>
      <c r="Q59" s="8" t="inlineStr">
        <is>
          <t>Web + API</t>
        </is>
      </c>
      <c r="R59" s="12" t="inlineStr"/>
      <c r="S59" s="12" t="inlineStr"/>
    </row>
    <row r="60">
      <c r="A60" s="8" t="inlineStr">
        <is>
          <t>T-039</t>
        </is>
      </c>
      <c r="B60" s="8" t="inlineStr">
        <is>
          <t>2 · Phát triển</t>
        </is>
      </c>
      <c r="C60" s="8" t="inlineStr">
        <is>
          <t>S1</t>
        </is>
      </c>
      <c r="D60" s="8" t="inlineStr">
        <is>
          <t>T5–T6</t>
        </is>
      </c>
      <c r="E60" s="8" t="inlineStr">
        <is>
          <t>DEP</t>
        </is>
      </c>
      <c r="F60" s="8" t="inlineStr">
        <is>
          <t>Lịch khởi hành</t>
        </is>
      </c>
      <c r="G60" s="8" t="inlineStr">
        <is>
          <t>DEP-01</t>
        </is>
      </c>
      <c r="H60" s="8" t="inlineStr">
        <is>
          <t>SRS UC-TDM-01..03; API 4.1; DB 4.10</t>
        </is>
      </c>
      <c r="I60" s="8" t="inlineStr">
        <is>
          <t>Kiểm thử — Đợt khởi hành: tạo, sửa, huỷ; sức chứa; giá riêng theo đợt và vé trẻ em</t>
        </is>
      </c>
      <c r="J60" s="8" t="n">
        <v>1</v>
      </c>
      <c r="K60" s="8" t="inlineStr">
        <is>
          <t>QC</t>
        </is>
      </c>
      <c r="L60" s="8" t="inlineStr">
        <is>
          <t>Tour Manager</t>
        </is>
      </c>
      <c r="M60" s="8" t="inlineStr">
        <is>
          <t>Web quản trị</t>
        </is>
      </c>
      <c r="N60" s="8" t="inlineStr">
        <is>
          <t>T-038</t>
        </is>
      </c>
      <c r="O60" s="8" t="inlineStr">
        <is>
          <t>✓</t>
        </is>
      </c>
      <c r="P60" s="8" t="inlineStr"/>
      <c r="Q60" s="8" t="inlineStr">
        <is>
          <t>Web + API</t>
        </is>
      </c>
      <c r="R60" s="12" t="inlineStr"/>
      <c r="S60" s="12" t="inlineStr"/>
    </row>
    <row r="61">
      <c r="A61" s="9" t="inlineStr"/>
      <c r="B61" s="9" t="inlineStr">
        <is>
          <t>2 · Phát triển</t>
        </is>
      </c>
      <c r="C61" s="9" t="inlineStr"/>
      <c r="D61" s="9" t="inlineStr"/>
      <c r="E61" s="9" t="inlineStr">
        <is>
          <t>NỀN</t>
        </is>
      </c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</row>
    <row r="62">
      <c r="A62" s="11" t="inlineStr"/>
      <c r="B62" s="11" t="inlineStr">
        <is>
          <t>2 · Phát triển</t>
        </is>
      </c>
      <c r="C62" s="11" t="inlineStr"/>
      <c r="D62" s="11" t="inlineStr"/>
      <c r="E62" s="11" t="inlineStr">
        <is>
          <t>NỀN</t>
        </is>
      </c>
      <c r="F62" s="11" t="inlineStr">
        <is>
          <t>Chất lượng</t>
        </is>
      </c>
      <c r="G62" s="11" t="inlineStr"/>
      <c r="H62" s="11" t="inlineStr"/>
      <c r="I62" s="11" t="inlineStr"/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11" t="inlineStr"/>
      <c r="S62" s="11" t="inlineStr"/>
    </row>
    <row r="63">
      <c r="A63" s="8" t="inlineStr">
        <is>
          <t>T-040</t>
        </is>
      </c>
      <c r="B63" s="8" t="inlineStr">
        <is>
          <t>2 · Phát triển</t>
        </is>
      </c>
      <c r="C63" s="8" t="inlineStr">
        <is>
          <t>S1</t>
        </is>
      </c>
      <c r="D63" s="8" t="inlineStr">
        <is>
          <t>T5–T6</t>
        </is>
      </c>
      <c r="E63" s="8" t="inlineStr">
        <is>
          <t>NỀN</t>
        </is>
      </c>
      <c r="F63" s="8" t="inlineStr">
        <is>
          <t>Chất lượng</t>
        </is>
      </c>
      <c r="G63" s="8" t="inlineStr">
        <is>
          <t>SYS-04</t>
        </is>
      </c>
      <c r="H63" s="8" t="inlineStr">
        <is>
          <t>FE structure §Testing</t>
        </is>
      </c>
      <c r="I63" s="8" t="inlineStr">
        <is>
          <t>Cấu hình hạ tầng và pipeline — CI: build, test tự động ba tầng (JUnit + Testcontainers, Vitest, Playwright)</t>
        </is>
      </c>
      <c r="J63" s="8" t="n">
        <v>2</v>
      </c>
      <c r="K63" s="8" t="inlineStr">
        <is>
          <t>DevOps · Tech Lead</t>
        </is>
      </c>
      <c r="L63" s="8" t="inlineStr">
        <is>
          <t>Mentor</t>
        </is>
      </c>
      <c r="M63" s="8" t="inlineStr">
        <is>
          <t>Hạ tầng</t>
        </is>
      </c>
      <c r="N63" s="8" t="inlineStr"/>
      <c r="O63" s="8" t="inlineStr"/>
      <c r="P63" s="8" t="inlineStr"/>
      <c r="Q63" s="8" t="inlineStr">
        <is>
          <t>Web + API</t>
        </is>
      </c>
      <c r="R63" s="12" t="inlineStr"/>
      <c r="S63" s="12" t="inlineStr"/>
    </row>
    <row r="64">
      <c r="A64" s="8" t="inlineStr">
        <is>
          <t>T-041</t>
        </is>
      </c>
      <c r="B64" s="8" t="inlineStr">
        <is>
          <t>2 · Phát triển</t>
        </is>
      </c>
      <c r="C64" s="8" t="inlineStr">
        <is>
          <t>S1</t>
        </is>
      </c>
      <c r="D64" s="8" t="inlineStr">
        <is>
          <t>T5–T6</t>
        </is>
      </c>
      <c r="E64" s="8" t="inlineStr">
        <is>
          <t>NỀN</t>
        </is>
      </c>
      <c r="F64" s="8" t="inlineStr">
        <is>
          <t>Chất lượng</t>
        </is>
      </c>
      <c r="G64" s="8" t="inlineStr">
        <is>
          <t>SYS-04</t>
        </is>
      </c>
      <c r="H64" s="8" t="inlineStr">
        <is>
          <t>FE structure §Testing</t>
        </is>
      </c>
      <c r="I64" s="8" t="inlineStr">
        <is>
          <t>Tích hợp vào ứng dụng — CI: build, test tự động ba tầng (JUnit + Testcontainers, Vitest, Playwright)</t>
        </is>
      </c>
      <c r="J64" s="8" t="n">
        <v>1</v>
      </c>
      <c r="K64" s="8" t="inlineStr">
        <is>
          <t>BE</t>
        </is>
      </c>
      <c r="L64" s="8" t="inlineStr">
        <is>
          <t>Mentor</t>
        </is>
      </c>
      <c r="M64" s="8" t="inlineStr">
        <is>
          <t>Hạ tầng</t>
        </is>
      </c>
      <c r="N64" s="8" t="inlineStr">
        <is>
          <t>T-040</t>
        </is>
      </c>
      <c r="O64" s="8" t="inlineStr"/>
      <c r="P64" s="8" t="inlineStr"/>
      <c r="Q64" s="8" t="inlineStr">
        <is>
          <t>Web + API</t>
        </is>
      </c>
      <c r="R64" s="12" t="inlineStr"/>
      <c r="S64" s="12" t="inlineStr"/>
    </row>
    <row r="65">
      <c r="A65" s="8" t="inlineStr">
        <is>
          <t>T-042</t>
        </is>
      </c>
      <c r="B65" s="8" t="inlineStr">
        <is>
          <t>2 · Phát triển</t>
        </is>
      </c>
      <c r="C65" s="8" t="inlineStr">
        <is>
          <t>S1</t>
        </is>
      </c>
      <c r="D65" s="8" t="inlineStr">
        <is>
          <t>T5–T6</t>
        </is>
      </c>
      <c r="E65" s="8" t="inlineStr">
        <is>
          <t>NỀN</t>
        </is>
      </c>
      <c r="F65" s="8" t="inlineStr">
        <is>
          <t>Chất lượng</t>
        </is>
      </c>
      <c r="G65" s="8" t="inlineStr">
        <is>
          <t>SYS-04</t>
        </is>
      </c>
      <c r="H65" s="8" t="inlineStr">
        <is>
          <t>FE structure §Testing</t>
        </is>
      </c>
      <c r="I65" s="8" t="inlineStr">
        <is>
          <t>Kiểm thử và tài liệu vận hành — CI: build, test tự động ba tầng (JUnit + Testcontainers, Vitest, Playwright)</t>
        </is>
      </c>
      <c r="J65" s="8" t="n">
        <v>1</v>
      </c>
      <c r="K65" s="8" t="inlineStr">
        <is>
          <t>QC</t>
        </is>
      </c>
      <c r="L65" s="8" t="inlineStr">
        <is>
          <t>Mentor</t>
        </is>
      </c>
      <c r="M65" s="8" t="inlineStr">
        <is>
          <t>Hạ tầng</t>
        </is>
      </c>
      <c r="N65" s="8" t="inlineStr">
        <is>
          <t>T-041</t>
        </is>
      </c>
      <c r="O65" s="8" t="inlineStr"/>
      <c r="P65" s="8" t="inlineStr"/>
      <c r="Q65" s="8" t="inlineStr">
        <is>
          <t>Web + API</t>
        </is>
      </c>
      <c r="R65" s="12" t="inlineStr"/>
      <c r="S65" s="12" t="inlineStr"/>
    </row>
    <row r="66">
      <c r="A66" s="9" t="inlineStr"/>
      <c r="B66" s="9" t="inlineStr">
        <is>
          <t>2 · Phát triển</t>
        </is>
      </c>
      <c r="C66" s="9" t="inlineStr"/>
      <c r="D66" s="9" t="inlineStr"/>
      <c r="E66" s="9" t="inlineStr">
        <is>
          <t>ACC</t>
        </is>
      </c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</row>
    <row r="67">
      <c r="A67" s="11" t="inlineStr"/>
      <c r="B67" s="11" t="inlineStr">
        <is>
          <t>2 · Phát triển</t>
        </is>
      </c>
      <c r="C67" s="11" t="inlineStr"/>
      <c r="D67" s="11" t="inlineStr"/>
      <c r="E67" s="11" t="inlineStr">
        <is>
          <t>ACC</t>
        </is>
      </c>
      <c r="F67" s="11" t="inlineStr">
        <is>
          <t>Hồ sơ</t>
        </is>
      </c>
      <c r="G67" s="11" t="inlineStr"/>
      <c r="H67" s="11" t="inlineStr"/>
      <c r="I67" s="11" t="inlineStr"/>
      <c r="J67" s="11" t="inlineStr"/>
      <c r="K67" s="11" t="inlineStr"/>
      <c r="L67" s="11" t="inlineStr"/>
      <c r="M67" s="11" t="inlineStr"/>
      <c r="N67" s="11" t="inlineStr"/>
      <c r="O67" s="11" t="inlineStr"/>
      <c r="P67" s="11" t="inlineStr"/>
      <c r="Q67" s="11" t="inlineStr"/>
      <c r="R67" s="11" t="inlineStr"/>
      <c r="S67" s="11" t="inlineStr"/>
    </row>
    <row r="68">
      <c r="A68" s="8" t="inlineStr">
        <is>
          <t>T-043</t>
        </is>
      </c>
      <c r="B68" s="8" t="inlineStr">
        <is>
          <t>2 · Phát triển</t>
        </is>
      </c>
      <c r="C68" s="8" t="inlineStr">
        <is>
          <t>S2</t>
        </is>
      </c>
      <c r="D68" s="8" t="inlineStr">
        <is>
          <t>T7–T8</t>
        </is>
      </c>
      <c r="E68" s="8" t="inlineStr">
        <is>
          <t>ACC</t>
        </is>
      </c>
      <c r="F68" s="8" t="inlineStr">
        <is>
          <t>Hồ sơ</t>
        </is>
      </c>
      <c r="G68" s="8" t="inlineStr">
        <is>
          <t>ACC-03</t>
        </is>
      </c>
      <c r="H68" s="8" t="inlineStr">
        <is>
          <t>API 4.12 users/me</t>
        </is>
      </c>
      <c r="I68" s="8" t="inlineStr">
        <is>
          <t>Thiết kế dữ liệu và API — Hồ sơ cá nhân: xem, sửa, đổi mật khẩu</t>
        </is>
      </c>
      <c r="J68" s="8" t="n">
        <v>1</v>
      </c>
      <c r="K68" s="8" t="inlineStr">
        <is>
          <t>BE · Tech Lead</t>
        </is>
      </c>
      <c r="L68" s="8" t="inlineStr">
        <is>
          <t>Khách</t>
        </is>
      </c>
      <c r="M68" s="8" t="inlineStr">
        <is>
          <t>Web</t>
        </is>
      </c>
      <c r="N68" s="8" t="inlineStr"/>
      <c r="O68" s="8" t="inlineStr"/>
      <c r="P68" s="8" t="inlineStr"/>
      <c r="Q68" s="8" t="inlineStr">
        <is>
          <t>Web + API</t>
        </is>
      </c>
      <c r="R68" s="12" t="inlineStr"/>
      <c r="S68" s="12" t="inlineStr"/>
    </row>
    <row r="69">
      <c r="A69" s="8" t="inlineStr">
        <is>
          <t>T-044</t>
        </is>
      </c>
      <c r="B69" s="8" t="inlineStr">
        <is>
          <t>2 · Phát triển</t>
        </is>
      </c>
      <c r="C69" s="8" t="inlineStr">
        <is>
          <t>S2</t>
        </is>
      </c>
      <c r="D69" s="8" t="inlineStr">
        <is>
          <t>T7–T8</t>
        </is>
      </c>
      <c r="E69" s="8" t="inlineStr">
        <is>
          <t>ACC</t>
        </is>
      </c>
      <c r="F69" s="8" t="inlineStr">
        <is>
          <t>Hồ sơ</t>
        </is>
      </c>
      <c r="G69" s="8" t="inlineStr">
        <is>
          <t>ACC-03</t>
        </is>
      </c>
      <c r="H69" s="8" t="inlineStr">
        <is>
          <t>API 4.12 users/me</t>
        </is>
      </c>
      <c r="I69" s="8" t="inlineStr">
        <is>
          <t>Giao diện và kết nối API — Hồ sơ cá nhân: xem, sửa, đổi mật khẩu</t>
        </is>
      </c>
      <c r="J69" s="8" t="n">
        <v>0.5</v>
      </c>
      <c r="K69" s="8" t="inlineStr">
        <is>
          <t>FE · Design</t>
        </is>
      </c>
      <c r="L69" s="8" t="inlineStr">
        <is>
          <t>Khách</t>
        </is>
      </c>
      <c r="M69" s="8" t="inlineStr">
        <is>
          <t>Web</t>
        </is>
      </c>
      <c r="N69" s="8" t="inlineStr">
        <is>
          <t>T-043</t>
        </is>
      </c>
      <c r="O69" s="8" t="inlineStr"/>
      <c r="P69" s="8" t="inlineStr"/>
      <c r="Q69" s="8" t="inlineStr">
        <is>
          <t>Web + API</t>
        </is>
      </c>
      <c r="R69" s="12" t="inlineStr"/>
      <c r="S69" s="12" t="inlineStr"/>
    </row>
    <row r="70">
      <c r="A70" s="8" t="inlineStr">
        <is>
          <t>T-045</t>
        </is>
      </c>
      <c r="B70" s="8" t="inlineStr">
        <is>
          <t>2 · Phát triển</t>
        </is>
      </c>
      <c r="C70" s="8" t="inlineStr">
        <is>
          <t>S2</t>
        </is>
      </c>
      <c r="D70" s="8" t="inlineStr">
        <is>
          <t>T7–T8</t>
        </is>
      </c>
      <c r="E70" s="8" t="inlineStr">
        <is>
          <t>ACC</t>
        </is>
      </c>
      <c r="F70" s="8" t="inlineStr">
        <is>
          <t>Hồ sơ</t>
        </is>
      </c>
      <c r="G70" s="8" t="inlineStr">
        <is>
          <t>ACC-03</t>
        </is>
      </c>
      <c r="H70" s="8" t="inlineStr">
        <is>
          <t>API 4.12 users/me</t>
        </is>
      </c>
      <c r="I70" s="8" t="inlineStr">
        <is>
          <t>Kiểm thử — Hồ sơ cá nhân: xem, sửa, đổi mật khẩu</t>
        </is>
      </c>
      <c r="J70" s="8" t="n">
        <v>0.5</v>
      </c>
      <c r="K70" s="8" t="inlineStr">
        <is>
          <t>QC</t>
        </is>
      </c>
      <c r="L70" s="8" t="inlineStr">
        <is>
          <t>Khách</t>
        </is>
      </c>
      <c r="M70" s="8" t="inlineStr">
        <is>
          <t>Web</t>
        </is>
      </c>
      <c r="N70" s="8" t="inlineStr">
        <is>
          <t>T-044</t>
        </is>
      </c>
      <c r="O70" s="8" t="inlineStr"/>
      <c r="P70" s="8" t="inlineStr"/>
      <c r="Q70" s="8" t="inlineStr">
        <is>
          <t>Web + API</t>
        </is>
      </c>
      <c r="R70" s="12" t="inlineStr"/>
      <c r="S70" s="12" t="inlineStr"/>
    </row>
    <row r="71">
      <c r="A71" s="9" t="inlineStr"/>
      <c r="B71" s="9" t="inlineStr">
        <is>
          <t>2 · Phát triển</t>
        </is>
      </c>
      <c r="C71" s="9" t="inlineStr"/>
      <c r="D71" s="9" t="inlineStr"/>
      <c r="E71" s="9" t="inlineStr">
        <is>
          <t>ADM</t>
        </is>
      </c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</row>
    <row r="72">
      <c r="A72" s="11" t="inlineStr"/>
      <c r="B72" s="11" t="inlineStr">
        <is>
          <t>2 · Phát triển</t>
        </is>
      </c>
      <c r="C72" s="11" t="inlineStr"/>
      <c r="D72" s="11" t="inlineStr"/>
      <c r="E72" s="11" t="inlineStr">
        <is>
          <t>ADM</t>
        </is>
      </c>
      <c r="F72" s="11" t="inlineStr">
        <is>
          <t>Cấu hình</t>
        </is>
      </c>
      <c r="G72" s="11" t="inlineStr"/>
      <c r="H72" s="11" t="inlineStr"/>
      <c r="I72" s="11" t="inlineStr"/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11" t="inlineStr"/>
      <c r="S72" s="11" t="inlineStr"/>
    </row>
    <row r="73">
      <c r="A73" s="8" t="inlineStr">
        <is>
          <t>T-046</t>
        </is>
      </c>
      <c r="B73" s="8" t="inlineStr">
        <is>
          <t>2 · Phát triển</t>
        </is>
      </c>
      <c r="C73" s="8" t="inlineStr">
        <is>
          <t>S2</t>
        </is>
      </c>
      <c r="D73" s="8" t="inlineStr">
        <is>
          <t>T7–T8</t>
        </is>
      </c>
      <c r="E73" s="8" t="inlineStr">
        <is>
          <t>ADM</t>
        </is>
      </c>
      <c r="F73" s="8" t="inlineStr">
        <is>
          <t>Cấu hình</t>
        </is>
      </c>
      <c r="G73" s="8" t="inlineStr">
        <is>
          <t>ADM-04</t>
        </is>
      </c>
      <c r="H73" s="8" t="inlineStr">
        <is>
          <t>SRS 7.5; DB 4.17</t>
        </is>
      </c>
      <c r="I73" s="8" t="inlineStr">
        <is>
          <t>Thiết kế dữ liệu và API — Cấu hình hệ thống: hạn thanh toán, chính sách huỷ, tham số chung</t>
        </is>
      </c>
      <c r="J73" s="8" t="n">
        <v>1</v>
      </c>
      <c r="K73" s="8" t="inlineStr">
        <is>
          <t>BE · Tech Lead</t>
        </is>
      </c>
      <c r="L73" s="8" t="inlineStr">
        <is>
          <t>Admin</t>
        </is>
      </c>
      <c r="M73" s="8" t="inlineStr">
        <is>
          <t>Web quản trị</t>
        </is>
      </c>
      <c r="N73" s="8" t="inlineStr"/>
      <c r="O73" s="8" t="inlineStr"/>
      <c r="P73" s="8" t="inlineStr"/>
      <c r="Q73" s="8" t="inlineStr">
        <is>
          <t>Web + API</t>
        </is>
      </c>
      <c r="R73" s="12" t="inlineStr"/>
      <c r="S73" s="12" t="inlineStr"/>
    </row>
    <row r="74">
      <c r="A74" s="8" t="inlineStr">
        <is>
          <t>T-047</t>
        </is>
      </c>
      <c r="B74" s="8" t="inlineStr">
        <is>
          <t>2 · Phát triển</t>
        </is>
      </c>
      <c r="C74" s="8" t="inlineStr">
        <is>
          <t>S2</t>
        </is>
      </c>
      <c r="D74" s="8" t="inlineStr">
        <is>
          <t>T7–T8</t>
        </is>
      </c>
      <c r="E74" s="8" t="inlineStr">
        <is>
          <t>ADM</t>
        </is>
      </c>
      <c r="F74" s="8" t="inlineStr">
        <is>
          <t>Cấu hình</t>
        </is>
      </c>
      <c r="G74" s="8" t="inlineStr">
        <is>
          <t>ADM-04</t>
        </is>
      </c>
      <c r="H74" s="8" t="inlineStr">
        <is>
          <t>SRS 7.5; DB 4.17</t>
        </is>
      </c>
      <c r="I74" s="8" t="inlineStr">
        <is>
          <t>Giao diện và kết nối API — Cấu hình hệ thống: hạn thanh toán, chính sách huỷ, tham số chung</t>
        </is>
      </c>
      <c r="J74" s="8" t="n">
        <v>0.5</v>
      </c>
      <c r="K74" s="8" t="inlineStr">
        <is>
          <t>FE · Design</t>
        </is>
      </c>
      <c r="L74" s="8" t="inlineStr">
        <is>
          <t>Admin</t>
        </is>
      </c>
      <c r="M74" s="8" t="inlineStr">
        <is>
          <t>Web quản trị</t>
        </is>
      </c>
      <c r="N74" s="8" t="inlineStr">
        <is>
          <t>T-046</t>
        </is>
      </c>
      <c r="O74" s="8" t="inlineStr"/>
      <c r="P74" s="8" t="inlineStr"/>
      <c r="Q74" s="8" t="inlineStr">
        <is>
          <t>Web + API</t>
        </is>
      </c>
      <c r="R74" s="12" t="inlineStr"/>
      <c r="S74" s="12" t="inlineStr"/>
    </row>
    <row r="75">
      <c r="A75" s="8" t="inlineStr">
        <is>
          <t>T-048</t>
        </is>
      </c>
      <c r="B75" s="8" t="inlineStr">
        <is>
          <t>2 · Phát triển</t>
        </is>
      </c>
      <c r="C75" s="8" t="inlineStr">
        <is>
          <t>S2</t>
        </is>
      </c>
      <c r="D75" s="8" t="inlineStr">
        <is>
          <t>T7–T8</t>
        </is>
      </c>
      <c r="E75" s="8" t="inlineStr">
        <is>
          <t>ADM</t>
        </is>
      </c>
      <c r="F75" s="8" t="inlineStr">
        <is>
          <t>Cấu hình</t>
        </is>
      </c>
      <c r="G75" s="8" t="inlineStr">
        <is>
          <t>ADM-04</t>
        </is>
      </c>
      <c r="H75" s="8" t="inlineStr">
        <is>
          <t>SRS 7.5; DB 4.17</t>
        </is>
      </c>
      <c r="I75" s="8" t="inlineStr">
        <is>
          <t>Kiểm thử — Cấu hình hệ thống: hạn thanh toán, chính sách huỷ, tham số chung</t>
        </is>
      </c>
      <c r="J75" s="8" t="n">
        <v>0.5</v>
      </c>
      <c r="K75" s="8" t="inlineStr">
        <is>
          <t>QC</t>
        </is>
      </c>
      <c r="L75" s="8" t="inlineStr">
        <is>
          <t>Admin</t>
        </is>
      </c>
      <c r="M75" s="8" t="inlineStr">
        <is>
          <t>Web quản trị</t>
        </is>
      </c>
      <c r="N75" s="8" t="inlineStr">
        <is>
          <t>T-047</t>
        </is>
      </c>
      <c r="O75" s="8" t="inlineStr"/>
      <c r="P75" s="8" t="inlineStr"/>
      <c r="Q75" s="8" t="inlineStr">
        <is>
          <t>Web + API</t>
        </is>
      </c>
      <c r="R75" s="12" t="inlineStr"/>
      <c r="S75" s="12" t="inlineStr"/>
    </row>
    <row r="76">
      <c r="A76" s="11" t="inlineStr"/>
      <c r="B76" s="11" t="inlineStr">
        <is>
          <t>2 · Phát triển</t>
        </is>
      </c>
      <c r="C76" s="11" t="inlineStr"/>
      <c r="D76" s="11" t="inlineStr"/>
      <c r="E76" s="11" t="inlineStr">
        <is>
          <t>ADM</t>
        </is>
      </c>
      <c r="F76" s="11" t="inlineStr">
        <is>
          <t>Tài khoản</t>
        </is>
      </c>
      <c r="G76" s="11" t="inlineStr"/>
      <c r="H76" s="11" t="inlineStr"/>
      <c r="I76" s="11" t="inlineStr"/>
      <c r="J76" s="11" t="inlineStr"/>
      <c r="K76" s="11" t="inlineStr"/>
      <c r="L76" s="11" t="inlineStr"/>
      <c r="M76" s="11" t="inlineStr"/>
      <c r="N76" s="11" t="inlineStr"/>
      <c r="O76" s="11" t="inlineStr"/>
      <c r="P76" s="11" t="inlineStr"/>
      <c r="Q76" s="11" t="inlineStr"/>
      <c r="R76" s="11" t="inlineStr"/>
      <c r="S76" s="11" t="inlineStr"/>
    </row>
    <row r="77">
      <c r="A77" s="8" t="inlineStr">
        <is>
          <t>T-049</t>
        </is>
      </c>
      <c r="B77" s="8" t="inlineStr">
        <is>
          <t>2 · Phát triển</t>
        </is>
      </c>
      <c r="C77" s="8" t="inlineStr">
        <is>
          <t>S2</t>
        </is>
      </c>
      <c r="D77" s="8" t="inlineStr">
        <is>
          <t>T7–T8</t>
        </is>
      </c>
      <c r="E77" s="8" t="inlineStr">
        <is>
          <t>ADM</t>
        </is>
      </c>
      <c r="F77" s="8" t="inlineStr">
        <is>
          <t>Tài khoản</t>
        </is>
      </c>
      <c r="G77" s="8" t="inlineStr">
        <is>
          <t>ADM-01</t>
        </is>
      </c>
      <c r="H77" s="8" t="inlineStr">
        <is>
          <t>SRS 7.1–7.4; API 4.13</t>
        </is>
      </c>
      <c r="I77" s="8" t="inlineStr">
        <is>
          <t>Thiết kế dữ liệu và API — Quản lý tài khoản: danh sách, tạo, khoá/mở, đổi vai trò</t>
        </is>
      </c>
      <c r="J77" s="8" t="n">
        <v>1</v>
      </c>
      <c r="K77" s="8" t="inlineStr">
        <is>
          <t>BE · Tech Lead</t>
        </is>
      </c>
      <c r="L77" s="8" t="inlineStr">
        <is>
          <t>Admin</t>
        </is>
      </c>
      <c r="M77" s="8" t="inlineStr">
        <is>
          <t>Web quản trị</t>
        </is>
      </c>
      <c r="N77" s="8" t="inlineStr"/>
      <c r="O77" s="8" t="inlineStr"/>
      <c r="P77" s="8" t="inlineStr"/>
      <c r="Q77" s="8" t="inlineStr">
        <is>
          <t>Web + API</t>
        </is>
      </c>
      <c r="R77" s="12" t="inlineStr"/>
      <c r="S77" s="12" t="inlineStr"/>
    </row>
    <row r="78">
      <c r="A78" s="8" t="inlineStr">
        <is>
          <t>T-050</t>
        </is>
      </c>
      <c r="B78" s="8" t="inlineStr">
        <is>
          <t>2 · Phát triển</t>
        </is>
      </c>
      <c r="C78" s="8" t="inlineStr">
        <is>
          <t>S2</t>
        </is>
      </c>
      <c r="D78" s="8" t="inlineStr">
        <is>
          <t>T7–T8</t>
        </is>
      </c>
      <c r="E78" s="8" t="inlineStr">
        <is>
          <t>ADM</t>
        </is>
      </c>
      <c r="F78" s="8" t="inlineStr">
        <is>
          <t>Tài khoản</t>
        </is>
      </c>
      <c r="G78" s="8" t="inlineStr">
        <is>
          <t>ADM-01</t>
        </is>
      </c>
      <c r="H78" s="8" t="inlineStr">
        <is>
          <t>SRS 7.1–7.4; API 4.13</t>
        </is>
      </c>
      <c r="I78" s="8" t="inlineStr">
        <is>
          <t>Giao diện và kết nối API — Quản lý tài khoản: danh sách, tạo, khoá/mở, đổi vai trò</t>
        </is>
      </c>
      <c r="J78" s="8" t="n">
        <v>1</v>
      </c>
      <c r="K78" s="8" t="inlineStr">
        <is>
          <t>FE · Design</t>
        </is>
      </c>
      <c r="L78" s="8" t="inlineStr">
        <is>
          <t>Admin</t>
        </is>
      </c>
      <c r="M78" s="8" t="inlineStr">
        <is>
          <t>Web quản trị</t>
        </is>
      </c>
      <c r="N78" s="8" t="inlineStr">
        <is>
          <t>T-049</t>
        </is>
      </c>
      <c r="O78" s="8" t="inlineStr"/>
      <c r="P78" s="8" t="inlineStr"/>
      <c r="Q78" s="8" t="inlineStr">
        <is>
          <t>Web + API</t>
        </is>
      </c>
      <c r="R78" s="12" t="inlineStr"/>
      <c r="S78" s="12" t="inlineStr"/>
    </row>
    <row r="79">
      <c r="A79" s="8" t="inlineStr">
        <is>
          <t>T-051</t>
        </is>
      </c>
      <c r="B79" s="8" t="inlineStr">
        <is>
          <t>2 · Phát triển</t>
        </is>
      </c>
      <c r="C79" s="8" t="inlineStr">
        <is>
          <t>S2</t>
        </is>
      </c>
      <c r="D79" s="8" t="inlineStr">
        <is>
          <t>T7–T8</t>
        </is>
      </c>
      <c r="E79" s="8" t="inlineStr">
        <is>
          <t>ADM</t>
        </is>
      </c>
      <c r="F79" s="8" t="inlineStr">
        <is>
          <t>Tài khoản</t>
        </is>
      </c>
      <c r="G79" s="8" t="inlineStr">
        <is>
          <t>ADM-01</t>
        </is>
      </c>
      <c r="H79" s="8" t="inlineStr">
        <is>
          <t>SRS 7.1–7.4; API 4.13</t>
        </is>
      </c>
      <c r="I79" s="8" t="inlineStr">
        <is>
          <t>Kiểm thử — Quản lý tài khoản: danh sách, tạo, khoá/mở, đổi vai trò</t>
        </is>
      </c>
      <c r="J79" s="8" t="n">
        <v>1</v>
      </c>
      <c r="K79" s="8" t="inlineStr">
        <is>
          <t>QC</t>
        </is>
      </c>
      <c r="L79" s="8" t="inlineStr">
        <is>
          <t>Admin</t>
        </is>
      </c>
      <c r="M79" s="8" t="inlineStr">
        <is>
          <t>Web quản trị</t>
        </is>
      </c>
      <c r="N79" s="8" t="inlineStr">
        <is>
          <t>T-050</t>
        </is>
      </c>
      <c r="O79" s="8" t="inlineStr"/>
      <c r="P79" s="8" t="inlineStr"/>
      <c r="Q79" s="8" t="inlineStr">
        <is>
          <t>Web + API</t>
        </is>
      </c>
      <c r="R79" s="12" t="inlineStr"/>
      <c r="S79" s="12" t="inlineStr"/>
    </row>
    <row r="80">
      <c r="A80" s="9" t="inlineStr"/>
      <c r="B80" s="9" t="inlineStr">
        <is>
          <t>2 · Phát triển</t>
        </is>
      </c>
      <c r="C80" s="9" t="inlineStr"/>
      <c r="D80" s="9" t="inlineStr"/>
      <c r="E80" s="9" t="inlineStr">
        <is>
          <t>BK</t>
        </is>
      </c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</row>
    <row r="81">
      <c r="A81" s="11" t="inlineStr"/>
      <c r="B81" s="11" t="inlineStr">
        <is>
          <t>2 · Phát triển</t>
        </is>
      </c>
      <c r="C81" s="11" t="inlineStr"/>
      <c r="D81" s="11" t="inlineStr"/>
      <c r="E81" s="11" t="inlineStr">
        <is>
          <t>BK</t>
        </is>
      </c>
      <c r="F81" s="11" t="inlineStr">
        <is>
          <t>Quản lý đơn</t>
        </is>
      </c>
      <c r="G81" s="11" t="inlineStr"/>
      <c r="H81" s="11" t="inlineStr"/>
      <c r="I81" s="11" t="inlineStr"/>
      <c r="J81" s="11" t="inlineStr"/>
      <c r="K81" s="11" t="inlineStr"/>
      <c r="L81" s="11" t="inlineStr"/>
      <c r="M81" s="11" t="inlineStr"/>
      <c r="N81" s="11" t="inlineStr"/>
      <c r="O81" s="11" t="inlineStr"/>
      <c r="P81" s="11" t="inlineStr"/>
      <c r="Q81" s="11" t="inlineStr"/>
      <c r="R81" s="11" t="inlineStr"/>
      <c r="S81" s="11" t="inlineStr"/>
    </row>
    <row r="82">
      <c r="A82" s="8" t="inlineStr">
        <is>
          <t>T-052</t>
        </is>
      </c>
      <c r="B82" s="8" t="inlineStr">
        <is>
          <t>2 · Phát triển</t>
        </is>
      </c>
      <c r="C82" s="8" t="inlineStr">
        <is>
          <t>S2</t>
        </is>
      </c>
      <c r="D82" s="8" t="inlineStr">
        <is>
          <t>T7–T8</t>
        </is>
      </c>
      <c r="E82" s="8" t="inlineStr">
        <is>
          <t>BK</t>
        </is>
      </c>
      <c r="F82" s="8" t="inlineStr">
        <is>
          <t>Quản lý đơn</t>
        </is>
      </c>
      <c r="G82" s="8" t="inlineStr">
        <is>
          <t>BK-06</t>
        </is>
      </c>
      <c r="H82" s="8" t="inlineStr">
        <is>
          <t>API 4.2 admin</t>
        </is>
      </c>
      <c r="I82" s="8" t="inlineStr">
        <is>
          <t>Thiết kế dữ liệu và API — Quản lý đơn đặt tour: danh sách, lọc, chi tiết, đổi trạng thái</t>
        </is>
      </c>
      <c r="J82" s="8" t="n">
        <v>1</v>
      </c>
      <c r="K82" s="8" t="inlineStr">
        <is>
          <t>BE · Tech Lead</t>
        </is>
      </c>
      <c r="L82" s="8" t="inlineStr">
        <is>
          <t>Tour Manager · Admin</t>
        </is>
      </c>
      <c r="M82" s="8" t="inlineStr">
        <is>
          <t>Web quản trị</t>
        </is>
      </c>
      <c r="N82" s="8" t="inlineStr"/>
      <c r="O82" s="8" t="inlineStr"/>
      <c r="P82" s="8" t="inlineStr"/>
      <c r="Q82" s="8" t="inlineStr">
        <is>
          <t>Web + API</t>
        </is>
      </c>
      <c r="R82" s="12" t="inlineStr"/>
      <c r="S82" s="12" t="inlineStr"/>
    </row>
    <row r="83">
      <c r="A83" s="8" t="inlineStr">
        <is>
          <t>T-053</t>
        </is>
      </c>
      <c r="B83" s="8" t="inlineStr">
        <is>
          <t>2 · Phát triển</t>
        </is>
      </c>
      <c r="C83" s="8" t="inlineStr">
        <is>
          <t>S2</t>
        </is>
      </c>
      <c r="D83" s="8" t="inlineStr">
        <is>
          <t>T7–T8</t>
        </is>
      </c>
      <c r="E83" s="8" t="inlineStr">
        <is>
          <t>BK</t>
        </is>
      </c>
      <c r="F83" s="8" t="inlineStr">
        <is>
          <t>Quản lý đơn</t>
        </is>
      </c>
      <c r="G83" s="8" t="inlineStr">
        <is>
          <t>BK-06</t>
        </is>
      </c>
      <c r="H83" s="8" t="inlineStr">
        <is>
          <t>API 4.2 admin</t>
        </is>
      </c>
      <c r="I83" s="8" t="inlineStr">
        <is>
          <t>Giao diện và kết nối API — Quản lý đơn đặt tour: danh sách, lọc, chi tiết, đổi trạng thái</t>
        </is>
      </c>
      <c r="J83" s="8" t="n">
        <v>1</v>
      </c>
      <c r="K83" s="8" t="inlineStr">
        <is>
          <t>FE · Design</t>
        </is>
      </c>
      <c r="L83" s="8" t="inlineStr">
        <is>
          <t>Tour Manager · Admin</t>
        </is>
      </c>
      <c r="M83" s="8" t="inlineStr">
        <is>
          <t>Web quản trị</t>
        </is>
      </c>
      <c r="N83" s="8" t="inlineStr">
        <is>
          <t>T-052</t>
        </is>
      </c>
      <c r="O83" s="8" t="inlineStr"/>
      <c r="P83" s="8" t="inlineStr"/>
      <c r="Q83" s="8" t="inlineStr">
        <is>
          <t>Web + API</t>
        </is>
      </c>
      <c r="R83" s="12" t="inlineStr"/>
      <c r="S83" s="12" t="inlineStr"/>
    </row>
    <row r="84">
      <c r="A84" s="8" t="inlineStr">
        <is>
          <t>T-054</t>
        </is>
      </c>
      <c r="B84" s="8" t="inlineStr">
        <is>
          <t>2 · Phát triển</t>
        </is>
      </c>
      <c r="C84" s="8" t="inlineStr">
        <is>
          <t>S2</t>
        </is>
      </c>
      <c r="D84" s="8" t="inlineStr">
        <is>
          <t>T7–T8</t>
        </is>
      </c>
      <c r="E84" s="8" t="inlineStr">
        <is>
          <t>BK</t>
        </is>
      </c>
      <c r="F84" s="8" t="inlineStr">
        <is>
          <t>Quản lý đơn</t>
        </is>
      </c>
      <c r="G84" s="8" t="inlineStr">
        <is>
          <t>BK-06</t>
        </is>
      </c>
      <c r="H84" s="8" t="inlineStr">
        <is>
          <t>API 4.2 admin</t>
        </is>
      </c>
      <c r="I84" s="8" t="inlineStr">
        <is>
          <t>Kiểm thử — Quản lý đơn đặt tour: danh sách, lọc, chi tiết, đổi trạng thái</t>
        </is>
      </c>
      <c r="J84" s="8" t="n">
        <v>1</v>
      </c>
      <c r="K84" s="8" t="inlineStr">
        <is>
          <t>QC</t>
        </is>
      </c>
      <c r="L84" s="8" t="inlineStr">
        <is>
          <t>Tour Manager · Admin</t>
        </is>
      </c>
      <c r="M84" s="8" t="inlineStr">
        <is>
          <t>Web quản trị</t>
        </is>
      </c>
      <c r="N84" s="8" t="inlineStr">
        <is>
          <t>T-053</t>
        </is>
      </c>
      <c r="O84" s="8" t="inlineStr"/>
      <c r="P84" s="8" t="inlineStr"/>
      <c r="Q84" s="8" t="inlineStr">
        <is>
          <t>Web + API</t>
        </is>
      </c>
      <c r="R84" s="12" t="inlineStr"/>
      <c r="S84" s="12" t="inlineStr"/>
    </row>
    <row r="85">
      <c r="A85" s="11" t="inlineStr"/>
      <c r="B85" s="11" t="inlineStr">
        <is>
          <t>2 · Phát triển</t>
        </is>
      </c>
      <c r="C85" s="11" t="inlineStr"/>
      <c r="D85" s="11" t="inlineStr"/>
      <c r="E85" s="11" t="inlineStr">
        <is>
          <t>BK</t>
        </is>
      </c>
      <c r="F85" s="11" t="inlineStr">
        <is>
          <t>Đơn của tôi</t>
        </is>
      </c>
      <c r="G85" s="11" t="inlineStr"/>
      <c r="H85" s="11" t="inlineStr"/>
      <c r="I85" s="11" t="inlineStr"/>
      <c r="J85" s="11" t="inlineStr"/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  <c r="R85" s="11" t="inlineStr"/>
      <c r="S85" s="11" t="inlineStr"/>
    </row>
    <row r="86">
      <c r="A86" s="8" t="inlineStr">
        <is>
          <t>T-055</t>
        </is>
      </c>
      <c r="B86" s="8" t="inlineStr">
        <is>
          <t>2 · Phát triển</t>
        </is>
      </c>
      <c r="C86" s="8" t="inlineStr">
        <is>
          <t>S2</t>
        </is>
      </c>
      <c r="D86" s="8" t="inlineStr">
        <is>
          <t>T7–T8</t>
        </is>
      </c>
      <c r="E86" s="8" t="inlineStr">
        <is>
          <t>BK</t>
        </is>
      </c>
      <c r="F86" s="8" t="inlineStr">
        <is>
          <t>Đơn của tôi</t>
        </is>
      </c>
      <c r="G86" s="8" t="inlineStr">
        <is>
          <t>BK-04</t>
        </is>
      </c>
      <c r="H86" s="8" t="inlineStr">
        <is>
          <t>SRS 4.5; API users/me/bookings</t>
        </is>
      </c>
      <c r="I86" s="8" t="inlineStr">
        <is>
          <t>Dựng giao diện và kết nối API — Đơn của tôi: danh sách, chi tiết, mã booking, trạng thái thanh toán</t>
        </is>
      </c>
      <c r="J86" s="8" t="n">
        <v>2</v>
      </c>
      <c r="K86" s="8" t="inlineStr">
        <is>
          <t>FE · Design</t>
        </is>
      </c>
      <c r="L86" s="8" t="inlineStr">
        <is>
          <t>Khách</t>
        </is>
      </c>
      <c r="M86" s="8" t="inlineStr">
        <is>
          <t>Web</t>
        </is>
      </c>
      <c r="N86" s="8" t="inlineStr"/>
      <c r="O86" s="8" t="inlineStr"/>
      <c r="P86" s="8" t="inlineStr"/>
      <c r="Q86" s="8" t="inlineStr">
        <is>
          <t>Web + API</t>
        </is>
      </c>
      <c r="R86" s="12" t="inlineStr"/>
      <c r="S86" s="12" t="inlineStr"/>
    </row>
    <row r="87">
      <c r="A87" s="8" t="inlineStr">
        <is>
          <t>T-056</t>
        </is>
      </c>
      <c r="B87" s="8" t="inlineStr">
        <is>
          <t>2 · Phát triển</t>
        </is>
      </c>
      <c r="C87" s="8" t="inlineStr">
        <is>
          <t>S2</t>
        </is>
      </c>
      <c r="D87" s="8" t="inlineStr">
        <is>
          <t>T7–T8</t>
        </is>
      </c>
      <c r="E87" s="8" t="inlineStr">
        <is>
          <t>BK</t>
        </is>
      </c>
      <c r="F87" s="8" t="inlineStr">
        <is>
          <t>Đơn của tôi</t>
        </is>
      </c>
      <c r="G87" s="8" t="inlineStr">
        <is>
          <t>BK-04</t>
        </is>
      </c>
      <c r="H87" s="8" t="inlineStr">
        <is>
          <t>SRS 4.5; API users/me/bookings</t>
        </is>
      </c>
      <c r="I87" s="8" t="inlineStr">
        <is>
          <t>Kiểm thử giao diện — Đơn của tôi: danh sách, chi tiết, mã booking, trạng thái thanh toán</t>
        </is>
      </c>
      <c r="J87" s="8" t="n">
        <v>0.5</v>
      </c>
      <c r="K87" s="8" t="inlineStr">
        <is>
          <t>QC</t>
        </is>
      </c>
      <c r="L87" s="8" t="inlineStr">
        <is>
          <t>Khách</t>
        </is>
      </c>
      <c r="M87" s="8" t="inlineStr">
        <is>
          <t>Web</t>
        </is>
      </c>
      <c r="N87" s="8" t="inlineStr">
        <is>
          <t>T-055</t>
        </is>
      </c>
      <c r="O87" s="8" t="inlineStr"/>
      <c r="P87" s="8" t="inlineStr"/>
      <c r="Q87" s="8" t="inlineStr">
        <is>
          <t>Web + API</t>
        </is>
      </c>
      <c r="R87" s="12" t="inlineStr"/>
      <c r="S87" s="12" t="inlineStr"/>
    </row>
    <row r="88">
      <c r="A88" s="11" t="inlineStr"/>
      <c r="B88" s="11" t="inlineStr">
        <is>
          <t>2 · Phát triển</t>
        </is>
      </c>
      <c r="C88" s="11" t="inlineStr"/>
      <c r="D88" s="11" t="inlineStr"/>
      <c r="E88" s="11" t="inlineStr">
        <is>
          <t>BK</t>
        </is>
      </c>
      <c r="F88" s="11" t="inlineStr">
        <is>
          <t>Đặt tour</t>
        </is>
      </c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</row>
    <row r="89">
      <c r="A89" s="8" t="inlineStr">
        <is>
          <t>T-057</t>
        </is>
      </c>
      <c r="B89" s="8" t="inlineStr">
        <is>
          <t>2 · Phát triển</t>
        </is>
      </c>
      <c r="C89" s="8" t="inlineStr">
        <is>
          <t>S2</t>
        </is>
      </c>
      <c r="D89" s="8" t="inlineStr">
        <is>
          <t>T7–T8</t>
        </is>
      </c>
      <c r="E89" s="8" t="inlineStr">
        <is>
          <t>BK</t>
        </is>
      </c>
      <c r="F89" s="8" t="inlineStr">
        <is>
          <t>Đặt tour</t>
        </is>
      </c>
      <c r="G89" s="8" t="inlineStr">
        <is>
          <t>BK-01</t>
        </is>
      </c>
      <c r="H89" s="8" t="inlineStr">
        <is>
          <t>SRS 4.6, 8.8; API 4.2; DB 4.11</t>
        </is>
      </c>
      <c r="I89" s="8" t="inlineStr">
        <is>
          <t>Thiết kế dữ liệu và API — Đặt tour: chọn đợt, số vé người lớn/trẻ em, giữ chỗ có hạn, chống đặt trùng chỗ bằng khoá ở DB</t>
        </is>
      </c>
      <c r="J89" s="8" t="n">
        <v>2</v>
      </c>
      <c r="K89" s="8" t="inlineStr">
        <is>
          <t>BE · Tech Lead</t>
        </is>
      </c>
      <c r="L89" s="8" t="inlineStr">
        <is>
          <t>Khách</t>
        </is>
      </c>
      <c r="M89" s="8" t="inlineStr">
        <is>
          <t>Web + API</t>
        </is>
      </c>
      <c r="N89" s="8" t="inlineStr"/>
      <c r="O89" s="8" t="inlineStr">
        <is>
          <t>✓</t>
        </is>
      </c>
      <c r="P89" s="8" t="inlineStr"/>
      <c r="Q89" s="8" t="inlineStr">
        <is>
          <t>Web + API</t>
        </is>
      </c>
      <c r="R89" s="12" t="inlineStr"/>
      <c r="S89" s="12" t="inlineStr"/>
    </row>
    <row r="90">
      <c r="A90" s="8" t="inlineStr">
        <is>
          <t>T-058</t>
        </is>
      </c>
      <c r="B90" s="8" t="inlineStr">
        <is>
          <t>2 · Phát triển</t>
        </is>
      </c>
      <c r="C90" s="8" t="inlineStr">
        <is>
          <t>S2</t>
        </is>
      </c>
      <c r="D90" s="8" t="inlineStr">
        <is>
          <t>T7–T8</t>
        </is>
      </c>
      <c r="E90" s="8" t="inlineStr">
        <is>
          <t>BK</t>
        </is>
      </c>
      <c r="F90" s="8" t="inlineStr">
        <is>
          <t>Đặt tour</t>
        </is>
      </c>
      <c r="G90" s="8" t="inlineStr">
        <is>
          <t>BK-01</t>
        </is>
      </c>
      <c r="H90" s="8" t="inlineStr">
        <is>
          <t>SRS 4.6, 8.8; API 4.2; DB 4.11</t>
        </is>
      </c>
      <c r="I90" s="8" t="inlineStr">
        <is>
          <t>Giao diện và kết nối API — Đặt tour: chọn đợt, số vé người lớn/trẻ em, giữ chỗ có hạn, chống đặt trùng chỗ bằng khoá ở DB</t>
        </is>
      </c>
      <c r="J90" s="8" t="n">
        <v>2</v>
      </c>
      <c r="K90" s="8" t="inlineStr">
        <is>
          <t>FE · Design</t>
        </is>
      </c>
      <c r="L90" s="8" t="inlineStr">
        <is>
          <t>Khách</t>
        </is>
      </c>
      <c r="M90" s="8" t="inlineStr">
        <is>
          <t>Web + API</t>
        </is>
      </c>
      <c r="N90" s="8" t="inlineStr">
        <is>
          <t>T-057</t>
        </is>
      </c>
      <c r="O90" s="8" t="inlineStr">
        <is>
          <t>✓</t>
        </is>
      </c>
      <c r="P90" s="8" t="inlineStr"/>
      <c r="Q90" s="8" t="inlineStr">
        <is>
          <t>Web + API</t>
        </is>
      </c>
      <c r="R90" s="12" t="inlineStr"/>
      <c r="S90" s="12" t="inlineStr"/>
    </row>
    <row r="91">
      <c r="A91" s="8" t="inlineStr">
        <is>
          <t>T-059</t>
        </is>
      </c>
      <c r="B91" s="8" t="inlineStr">
        <is>
          <t>2 · Phát triển</t>
        </is>
      </c>
      <c r="C91" s="8" t="inlineStr">
        <is>
          <t>S2</t>
        </is>
      </c>
      <c r="D91" s="8" t="inlineStr">
        <is>
          <t>T7–T8</t>
        </is>
      </c>
      <c r="E91" s="8" t="inlineStr">
        <is>
          <t>BK</t>
        </is>
      </c>
      <c r="F91" s="8" t="inlineStr">
        <is>
          <t>Đặt tour</t>
        </is>
      </c>
      <c r="G91" s="8" t="inlineStr">
        <is>
          <t>BK-01</t>
        </is>
      </c>
      <c r="H91" s="8" t="inlineStr">
        <is>
          <t>SRS 4.6, 8.8; API 4.2; DB 4.11</t>
        </is>
      </c>
      <c r="I91" s="8" t="inlineStr">
        <is>
          <t>Kiểm thử — Đặt tour: chọn đợt, số vé người lớn/trẻ em, giữ chỗ có hạn, chống đặt trùng chỗ bằng khoá ở DB</t>
        </is>
      </c>
      <c r="J91" s="8" t="n">
        <v>1</v>
      </c>
      <c r="K91" s="8" t="inlineStr">
        <is>
          <t>QC</t>
        </is>
      </c>
      <c r="L91" s="8" t="inlineStr">
        <is>
          <t>Khách</t>
        </is>
      </c>
      <c r="M91" s="8" t="inlineStr">
        <is>
          <t>Web + API</t>
        </is>
      </c>
      <c r="N91" s="8" t="inlineStr">
        <is>
          <t>T-058</t>
        </is>
      </c>
      <c r="O91" s="8" t="inlineStr">
        <is>
          <t>✓</t>
        </is>
      </c>
      <c r="P91" s="8" t="inlineStr"/>
      <c r="Q91" s="8" t="inlineStr">
        <is>
          <t>Web + API</t>
        </is>
      </c>
      <c r="R91" s="12" t="inlineStr"/>
      <c r="S91" s="12" t="inlineStr"/>
    </row>
    <row r="92">
      <c r="A92" s="8" t="inlineStr">
        <is>
          <t>T-060</t>
        </is>
      </c>
      <c r="B92" s="8" t="inlineStr">
        <is>
          <t>2 · Phát triển</t>
        </is>
      </c>
      <c r="C92" s="8" t="inlineStr">
        <is>
          <t>S2</t>
        </is>
      </c>
      <c r="D92" s="8" t="inlineStr">
        <is>
          <t>T7–T8</t>
        </is>
      </c>
      <c r="E92" s="8" t="inlineStr">
        <is>
          <t>BK</t>
        </is>
      </c>
      <c r="F92" s="8" t="inlineStr">
        <is>
          <t>Đặt tour</t>
        </is>
      </c>
      <c r="G92" s="8" t="inlineStr">
        <is>
          <t>BK-02</t>
        </is>
      </c>
      <c r="H92" s="8" t="inlineStr">
        <is>
          <t>SRS 9.3</t>
        </is>
      </c>
      <c r="I92" s="8" t="inlineStr">
        <is>
          <t>Thiết kế dữ liệu và API — Máy trạng thái booking và bảng chuyển trạng thái, chuyển sai trả 409</t>
        </is>
      </c>
      <c r="J92" s="8" t="n">
        <v>1</v>
      </c>
      <c r="K92" s="8" t="inlineStr">
        <is>
          <t>BE · Tech Lead</t>
        </is>
      </c>
      <c r="L92" s="8" t="inlineStr">
        <is>
          <t>Hệ thống</t>
        </is>
      </c>
      <c r="M92" s="8" t="inlineStr">
        <is>
          <t>API</t>
        </is>
      </c>
      <c r="N92" s="8" t="inlineStr"/>
      <c r="O92" s="8" t="inlineStr">
        <is>
          <t>✓</t>
        </is>
      </c>
      <c r="P92" s="8" t="inlineStr"/>
      <c r="Q92" s="8" t="inlineStr">
        <is>
          <t>Web + API</t>
        </is>
      </c>
      <c r="R92" s="12" t="inlineStr"/>
      <c r="S92" s="12" t="inlineStr"/>
    </row>
    <row r="93">
      <c r="A93" s="8" t="inlineStr">
        <is>
          <t>T-061</t>
        </is>
      </c>
      <c r="B93" s="8" t="inlineStr">
        <is>
          <t>2 · Phát triển</t>
        </is>
      </c>
      <c r="C93" s="8" t="inlineStr">
        <is>
          <t>S2</t>
        </is>
      </c>
      <c r="D93" s="8" t="inlineStr">
        <is>
          <t>T7–T8</t>
        </is>
      </c>
      <c r="E93" s="8" t="inlineStr">
        <is>
          <t>BK</t>
        </is>
      </c>
      <c r="F93" s="8" t="inlineStr">
        <is>
          <t>Đặt tour</t>
        </is>
      </c>
      <c r="G93" s="8" t="inlineStr">
        <is>
          <t>BK-02</t>
        </is>
      </c>
      <c r="H93" s="8" t="inlineStr">
        <is>
          <t>SRS 9.3</t>
        </is>
      </c>
      <c r="I93" s="8" t="inlineStr">
        <is>
          <t>Cài đặt quy tắc nghiệp vụ — Máy trạng thái booking và bảng chuyển trạng thái, chuyển sai trả 409</t>
        </is>
      </c>
      <c r="J93" s="8" t="n">
        <v>0.5</v>
      </c>
      <c r="K93" s="8" t="inlineStr">
        <is>
          <t>BE</t>
        </is>
      </c>
      <c r="L93" s="8" t="inlineStr">
        <is>
          <t>Hệ thống</t>
        </is>
      </c>
      <c r="M93" s="8" t="inlineStr">
        <is>
          <t>API</t>
        </is>
      </c>
      <c r="N93" s="8" t="inlineStr">
        <is>
          <t>T-060</t>
        </is>
      </c>
      <c r="O93" s="8" t="inlineStr">
        <is>
          <t>✓</t>
        </is>
      </c>
      <c r="P93" s="8" t="inlineStr"/>
      <c r="Q93" s="8" t="inlineStr">
        <is>
          <t>Web + API</t>
        </is>
      </c>
      <c r="R93" s="12" t="inlineStr"/>
      <c r="S93" s="12" t="inlineStr"/>
    </row>
    <row r="94">
      <c r="A94" s="8" t="inlineStr">
        <is>
          <t>T-062</t>
        </is>
      </c>
      <c r="B94" s="8" t="inlineStr">
        <is>
          <t>2 · Phát triển</t>
        </is>
      </c>
      <c r="C94" s="8" t="inlineStr">
        <is>
          <t>S2</t>
        </is>
      </c>
      <c r="D94" s="8" t="inlineStr">
        <is>
          <t>T7–T8</t>
        </is>
      </c>
      <c r="E94" s="8" t="inlineStr">
        <is>
          <t>BK</t>
        </is>
      </c>
      <c r="F94" s="8" t="inlineStr">
        <is>
          <t>Đặt tour</t>
        </is>
      </c>
      <c r="G94" s="8" t="inlineStr">
        <is>
          <t>BK-02</t>
        </is>
      </c>
      <c r="H94" s="8" t="inlineStr">
        <is>
          <t>SRS 9.3</t>
        </is>
      </c>
      <c r="I94" s="8" t="inlineStr">
        <is>
          <t>Viết test case và kiểm thử — Máy trạng thái booking và bảng chuyển trạng thái, chuyển sai trả 409</t>
        </is>
      </c>
      <c r="J94" s="8" t="n">
        <v>0.5</v>
      </c>
      <c r="K94" s="8" t="inlineStr">
        <is>
          <t>QC</t>
        </is>
      </c>
      <c r="L94" s="8" t="inlineStr">
        <is>
          <t>Hệ thống</t>
        </is>
      </c>
      <c r="M94" s="8" t="inlineStr">
        <is>
          <t>API</t>
        </is>
      </c>
      <c r="N94" s="8" t="inlineStr">
        <is>
          <t>T-061</t>
        </is>
      </c>
      <c r="O94" s="8" t="inlineStr">
        <is>
          <t>✓</t>
        </is>
      </c>
      <c r="P94" s="8" t="inlineStr"/>
      <c r="Q94" s="8" t="inlineStr">
        <is>
          <t>Web + API</t>
        </is>
      </c>
      <c r="R94" s="12" t="inlineStr"/>
      <c r="S94" s="12" t="inlineStr"/>
    </row>
    <row r="95">
      <c r="A95" s="8" t="inlineStr">
        <is>
          <t>T-063</t>
        </is>
      </c>
      <c r="B95" s="8" t="inlineStr">
        <is>
          <t>2 · Phát triển</t>
        </is>
      </c>
      <c r="C95" s="8" t="inlineStr">
        <is>
          <t>S2</t>
        </is>
      </c>
      <c r="D95" s="8" t="inlineStr">
        <is>
          <t>T7–T8</t>
        </is>
      </c>
      <c r="E95" s="8" t="inlineStr">
        <is>
          <t>BK</t>
        </is>
      </c>
      <c r="F95" s="8" t="inlineStr">
        <is>
          <t>Đặt tour</t>
        </is>
      </c>
      <c r="G95" s="8" t="inlineStr">
        <is>
          <t>BK-03</t>
        </is>
      </c>
      <c r="H95" s="8" t="inlineStr">
        <is>
          <t>BS (SRS 4.7 A2 chưa định nghĩa)</t>
        </is>
      </c>
      <c r="I95" s="8" t="inlineStr">
        <is>
          <t>Thiết kế dữ liệu và API — Tự huỷ booking quá hạn thanh toán và nhả chỗ (job định kỳ)</t>
        </is>
      </c>
      <c r="J95" s="8" t="n">
        <v>1</v>
      </c>
      <c r="K95" s="8" t="inlineStr">
        <is>
          <t>BE · Tech Lead</t>
        </is>
      </c>
      <c r="L95" s="8" t="inlineStr">
        <is>
          <t>Hệ thống</t>
        </is>
      </c>
      <c r="M95" s="8" t="inlineStr">
        <is>
          <t>API</t>
        </is>
      </c>
      <c r="N95" s="8" t="inlineStr"/>
      <c r="O95" s="8" t="inlineStr">
        <is>
          <t>✓</t>
        </is>
      </c>
      <c r="P95" s="8" t="inlineStr"/>
      <c r="Q95" s="8" t="inlineStr">
        <is>
          <t>Web + API</t>
        </is>
      </c>
      <c r="R95" s="12" t="inlineStr"/>
      <c r="S95" s="12" t="inlineStr"/>
    </row>
    <row r="96">
      <c r="A96" s="8" t="inlineStr">
        <is>
          <t>T-064</t>
        </is>
      </c>
      <c r="B96" s="8" t="inlineStr">
        <is>
          <t>2 · Phát triển</t>
        </is>
      </c>
      <c r="C96" s="8" t="inlineStr">
        <is>
          <t>S2</t>
        </is>
      </c>
      <c r="D96" s="8" t="inlineStr">
        <is>
          <t>T7–T8</t>
        </is>
      </c>
      <c r="E96" s="8" t="inlineStr">
        <is>
          <t>BK</t>
        </is>
      </c>
      <c r="F96" s="8" t="inlineStr">
        <is>
          <t>Đặt tour</t>
        </is>
      </c>
      <c r="G96" s="8" t="inlineStr">
        <is>
          <t>BK-03</t>
        </is>
      </c>
      <c r="H96" s="8" t="inlineStr">
        <is>
          <t>BS (SRS 4.7 A2 chưa định nghĩa)</t>
        </is>
      </c>
      <c r="I96" s="8" t="inlineStr">
        <is>
          <t>Cài đặt quy tắc nghiệp vụ — Tự huỷ booking quá hạn thanh toán và nhả chỗ (job định kỳ)</t>
        </is>
      </c>
      <c r="J96" s="8" t="n">
        <v>0.5</v>
      </c>
      <c r="K96" s="8" t="inlineStr">
        <is>
          <t>BE</t>
        </is>
      </c>
      <c r="L96" s="8" t="inlineStr">
        <is>
          <t>Hệ thống</t>
        </is>
      </c>
      <c r="M96" s="8" t="inlineStr">
        <is>
          <t>API</t>
        </is>
      </c>
      <c r="N96" s="8" t="inlineStr">
        <is>
          <t>T-063</t>
        </is>
      </c>
      <c r="O96" s="8" t="inlineStr">
        <is>
          <t>✓</t>
        </is>
      </c>
      <c r="P96" s="8" t="inlineStr"/>
      <c r="Q96" s="8" t="inlineStr">
        <is>
          <t>Web + API</t>
        </is>
      </c>
      <c r="R96" s="12" t="inlineStr"/>
      <c r="S96" s="12" t="inlineStr"/>
    </row>
    <row r="97">
      <c r="A97" s="8" t="inlineStr">
        <is>
          <t>T-065</t>
        </is>
      </c>
      <c r="B97" s="8" t="inlineStr">
        <is>
          <t>2 · Phát triển</t>
        </is>
      </c>
      <c r="C97" s="8" t="inlineStr">
        <is>
          <t>S2</t>
        </is>
      </c>
      <c r="D97" s="8" t="inlineStr">
        <is>
          <t>T7–T8</t>
        </is>
      </c>
      <c r="E97" s="8" t="inlineStr">
        <is>
          <t>BK</t>
        </is>
      </c>
      <c r="F97" s="8" t="inlineStr">
        <is>
          <t>Đặt tour</t>
        </is>
      </c>
      <c r="G97" s="8" t="inlineStr">
        <is>
          <t>BK-03</t>
        </is>
      </c>
      <c r="H97" s="8" t="inlineStr">
        <is>
          <t>BS (SRS 4.7 A2 chưa định nghĩa)</t>
        </is>
      </c>
      <c r="I97" s="8" t="inlineStr">
        <is>
          <t>Viết test case và kiểm thử — Tự huỷ booking quá hạn thanh toán và nhả chỗ (job định kỳ)</t>
        </is>
      </c>
      <c r="J97" s="8" t="n">
        <v>0.5</v>
      </c>
      <c r="K97" s="8" t="inlineStr">
        <is>
          <t>QC</t>
        </is>
      </c>
      <c r="L97" s="8" t="inlineStr">
        <is>
          <t>Hệ thống</t>
        </is>
      </c>
      <c r="M97" s="8" t="inlineStr">
        <is>
          <t>API</t>
        </is>
      </c>
      <c r="N97" s="8" t="inlineStr">
        <is>
          <t>T-064</t>
        </is>
      </c>
      <c r="O97" s="8" t="inlineStr">
        <is>
          <t>✓</t>
        </is>
      </c>
      <c r="P97" s="8" t="inlineStr"/>
      <c r="Q97" s="8" t="inlineStr">
        <is>
          <t>Web + API</t>
        </is>
      </c>
      <c r="R97" s="12" t="inlineStr"/>
      <c r="S97" s="12" t="inlineStr"/>
    </row>
    <row r="98">
      <c r="A98" s="9" t="inlineStr"/>
      <c r="B98" s="9" t="inlineStr">
        <is>
          <t>2 · Phát triển</t>
        </is>
      </c>
      <c r="C98" s="9" t="inlineStr"/>
      <c r="D98" s="9" t="inlineStr"/>
      <c r="E98" s="9" t="inlineStr">
        <is>
          <t>CAT</t>
        </is>
      </c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  <c r="Q98" s="9" t="inlineStr"/>
      <c r="R98" s="9" t="inlineStr"/>
      <c r="S98" s="9" t="inlineStr"/>
    </row>
    <row r="99">
      <c r="A99" s="11" t="inlineStr"/>
      <c r="B99" s="11" t="inlineStr">
        <is>
          <t>2 · Phát triển</t>
        </is>
      </c>
      <c r="C99" s="11" t="inlineStr"/>
      <c r="D99" s="11" t="inlineStr"/>
      <c r="E99" s="11" t="inlineStr">
        <is>
          <t>CAT</t>
        </is>
      </c>
      <c r="F99" s="11" t="inlineStr">
        <is>
          <t>Tour</t>
        </is>
      </c>
      <c r="G99" s="11" t="inlineStr"/>
      <c r="H99" s="11" t="inlineStr"/>
      <c r="I99" s="11" t="inlineStr"/>
      <c r="J99" s="11" t="inlineStr"/>
      <c r="K99" s="11" t="inlineStr"/>
      <c r="L99" s="11" t="inlineStr"/>
      <c r="M99" s="11" t="inlineStr"/>
      <c r="N99" s="11" t="inlineStr"/>
      <c r="O99" s="11" t="inlineStr"/>
      <c r="P99" s="11" t="inlineStr"/>
      <c r="Q99" s="11" t="inlineStr"/>
      <c r="R99" s="11" t="inlineStr"/>
      <c r="S99" s="11" t="inlineStr"/>
    </row>
    <row r="100">
      <c r="A100" s="8" t="inlineStr">
        <is>
          <t>T-066</t>
        </is>
      </c>
      <c r="B100" s="8" t="inlineStr">
        <is>
          <t>2 · Phát triển</t>
        </is>
      </c>
      <c r="C100" s="8" t="inlineStr">
        <is>
          <t>S2</t>
        </is>
      </c>
      <c r="D100" s="8" t="inlineStr">
        <is>
          <t>T7–T8</t>
        </is>
      </c>
      <c r="E100" s="8" t="inlineStr">
        <is>
          <t>CAT</t>
        </is>
      </c>
      <c r="F100" s="8" t="inlineStr">
        <is>
          <t>Tour</t>
        </is>
      </c>
      <c r="G100" s="8" t="inlineStr">
        <is>
          <t>CAT-05</t>
        </is>
      </c>
      <c r="H100" s="8" t="inlineStr">
        <is>
          <t>API 4.8, DB 4.7</t>
        </is>
      </c>
      <c r="I100" s="8" t="inlineStr">
        <is>
          <t>Thiết kế dữ liệu và API — Ảnh tour: tải lên, sắp xếp, ảnh đại diện</t>
        </is>
      </c>
      <c r="J100" s="8" t="n">
        <v>1</v>
      </c>
      <c r="K100" s="8" t="inlineStr">
        <is>
          <t>BE · Tech Lead</t>
        </is>
      </c>
      <c r="L100" s="8" t="inlineStr">
        <is>
          <t>Tour Manager</t>
        </is>
      </c>
      <c r="M100" s="8" t="inlineStr">
        <is>
          <t>Web quản trị</t>
        </is>
      </c>
      <c r="N100" s="8" t="inlineStr"/>
      <c r="O100" s="8" t="inlineStr"/>
      <c r="P100" s="8" t="inlineStr"/>
      <c r="Q100" s="8" t="inlineStr">
        <is>
          <t>Web + API</t>
        </is>
      </c>
      <c r="R100" s="12" t="inlineStr"/>
      <c r="S100" s="12" t="inlineStr"/>
    </row>
    <row r="101">
      <c r="A101" s="8" t="inlineStr">
        <is>
          <t>T-067</t>
        </is>
      </c>
      <c r="B101" s="8" t="inlineStr">
        <is>
          <t>2 · Phát triển</t>
        </is>
      </c>
      <c r="C101" s="8" t="inlineStr">
        <is>
          <t>S2</t>
        </is>
      </c>
      <c r="D101" s="8" t="inlineStr">
        <is>
          <t>T7–T8</t>
        </is>
      </c>
      <c r="E101" s="8" t="inlineStr">
        <is>
          <t>CAT</t>
        </is>
      </c>
      <c r="F101" s="8" t="inlineStr">
        <is>
          <t>Tour</t>
        </is>
      </c>
      <c r="G101" s="8" t="inlineStr">
        <is>
          <t>CAT-05</t>
        </is>
      </c>
      <c r="H101" s="8" t="inlineStr">
        <is>
          <t>API 4.8, DB 4.7</t>
        </is>
      </c>
      <c r="I101" s="8" t="inlineStr">
        <is>
          <t>Giao diện và kết nối API — Ảnh tour: tải lên, sắp xếp, ảnh đại diện</t>
        </is>
      </c>
      <c r="J101" s="8" t="n">
        <v>1</v>
      </c>
      <c r="K101" s="8" t="inlineStr">
        <is>
          <t>FE · Design</t>
        </is>
      </c>
      <c r="L101" s="8" t="inlineStr">
        <is>
          <t>Tour Manager</t>
        </is>
      </c>
      <c r="M101" s="8" t="inlineStr">
        <is>
          <t>Web quản trị</t>
        </is>
      </c>
      <c r="N101" s="8" t="inlineStr">
        <is>
          <t>T-066</t>
        </is>
      </c>
      <c r="O101" s="8" t="inlineStr"/>
      <c r="P101" s="8" t="inlineStr"/>
      <c r="Q101" s="8" t="inlineStr">
        <is>
          <t>Web + API</t>
        </is>
      </c>
      <c r="R101" s="12" t="inlineStr"/>
      <c r="S101" s="12" t="inlineStr"/>
    </row>
    <row r="102">
      <c r="A102" s="8" t="inlineStr">
        <is>
          <t>T-068</t>
        </is>
      </c>
      <c r="B102" s="8" t="inlineStr">
        <is>
          <t>2 · Phát triển</t>
        </is>
      </c>
      <c r="C102" s="8" t="inlineStr">
        <is>
          <t>S2</t>
        </is>
      </c>
      <c r="D102" s="8" t="inlineStr">
        <is>
          <t>T7–T8</t>
        </is>
      </c>
      <c r="E102" s="8" t="inlineStr">
        <is>
          <t>CAT</t>
        </is>
      </c>
      <c r="F102" s="8" t="inlineStr">
        <is>
          <t>Tour</t>
        </is>
      </c>
      <c r="G102" s="8" t="inlineStr">
        <is>
          <t>CAT-05</t>
        </is>
      </c>
      <c r="H102" s="8" t="inlineStr">
        <is>
          <t>API 4.8, DB 4.7</t>
        </is>
      </c>
      <c r="I102" s="8" t="inlineStr">
        <is>
          <t>Kiểm thử — Ảnh tour: tải lên, sắp xếp, ảnh đại diện</t>
        </is>
      </c>
      <c r="J102" s="8" t="n">
        <v>0.5</v>
      </c>
      <c r="K102" s="8" t="inlineStr">
        <is>
          <t>QC</t>
        </is>
      </c>
      <c r="L102" s="8" t="inlineStr">
        <is>
          <t>Tour Manager</t>
        </is>
      </c>
      <c r="M102" s="8" t="inlineStr">
        <is>
          <t>Web quản trị</t>
        </is>
      </c>
      <c r="N102" s="8" t="inlineStr">
        <is>
          <t>T-067</t>
        </is>
      </c>
      <c r="O102" s="8" t="inlineStr"/>
      <c r="P102" s="8" t="inlineStr"/>
      <c r="Q102" s="8" t="inlineStr">
        <is>
          <t>Web + API</t>
        </is>
      </c>
      <c r="R102" s="12" t="inlineStr"/>
      <c r="S102" s="12" t="inlineStr"/>
    </row>
    <row r="103">
      <c r="A103" s="9" t="inlineStr"/>
      <c r="B103" s="9" t="inlineStr">
        <is>
          <t>2 · Phát triển</t>
        </is>
      </c>
      <c r="C103" s="9" t="inlineStr"/>
      <c r="D103" s="9" t="inlineStr"/>
      <c r="E103" s="9" t="inlineStr">
        <is>
          <t>DEP</t>
        </is>
      </c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</row>
    <row r="104">
      <c r="A104" s="11" t="inlineStr"/>
      <c r="B104" s="11" t="inlineStr">
        <is>
          <t>2 · Phát triển</t>
        </is>
      </c>
      <c r="C104" s="11" t="inlineStr"/>
      <c r="D104" s="11" t="inlineStr"/>
      <c r="E104" s="11" t="inlineStr">
        <is>
          <t>DEP</t>
        </is>
      </c>
      <c r="F104" s="11" t="inlineStr">
        <is>
          <t>Hướng dẫn viên</t>
        </is>
      </c>
      <c r="G104" s="11" t="inlineStr"/>
      <c r="H104" s="11" t="inlineStr"/>
      <c r="I104" s="11" t="inlineStr"/>
      <c r="J104" s="11" t="inlineStr"/>
      <c r="K104" s="11" t="inlineStr"/>
      <c r="L104" s="11" t="inlineStr"/>
      <c r="M104" s="11" t="inlineStr"/>
      <c r="N104" s="11" t="inlineStr"/>
      <c r="O104" s="11" t="inlineStr"/>
      <c r="P104" s="11" t="inlineStr"/>
      <c r="Q104" s="11" t="inlineStr"/>
      <c r="R104" s="11" t="inlineStr"/>
      <c r="S104" s="11" t="inlineStr"/>
    </row>
    <row r="105">
      <c r="A105" s="8" t="inlineStr">
        <is>
          <t>T-069</t>
        </is>
      </c>
      <c r="B105" s="8" t="inlineStr">
        <is>
          <t>2 · Phát triển</t>
        </is>
      </c>
      <c r="C105" s="8" t="inlineStr">
        <is>
          <t>S2</t>
        </is>
      </c>
      <c r="D105" s="8" t="inlineStr">
        <is>
          <t>T7–T8</t>
        </is>
      </c>
      <c r="E105" s="8" t="inlineStr">
        <is>
          <t>DEP</t>
        </is>
      </c>
      <c r="F105" s="8" t="inlineStr">
        <is>
          <t>Hướng dẫn viên</t>
        </is>
      </c>
      <c r="G105" s="8" t="inlineStr">
        <is>
          <t>DEP-03</t>
        </is>
      </c>
      <c r="H105" s="8" t="inlineStr">
        <is>
          <t>SRS 9.8; DB tour_guide_id</t>
        </is>
      </c>
      <c r="I105" s="8" t="inlineStr">
        <is>
          <t>Thiết kế dữ liệu và API — Phân công hướng dẫn viên, chặn trùng lịch</t>
        </is>
      </c>
      <c r="J105" s="8" t="n">
        <v>1</v>
      </c>
      <c r="K105" s="8" t="inlineStr">
        <is>
          <t>BE · Tech Lead</t>
        </is>
      </c>
      <c r="L105" s="8" t="inlineStr">
        <is>
          <t>Tour Manager</t>
        </is>
      </c>
      <c r="M105" s="8" t="inlineStr">
        <is>
          <t>Web quản trị</t>
        </is>
      </c>
      <c r="N105" s="8" t="inlineStr"/>
      <c r="O105" s="8" t="inlineStr"/>
      <c r="P105" s="8" t="inlineStr"/>
      <c r="Q105" s="8" t="inlineStr">
        <is>
          <t>Web + API</t>
        </is>
      </c>
      <c r="R105" s="12" t="inlineStr"/>
      <c r="S105" s="12" t="inlineStr"/>
    </row>
    <row r="106">
      <c r="A106" s="8" t="inlineStr">
        <is>
          <t>T-070</t>
        </is>
      </c>
      <c r="B106" s="8" t="inlineStr">
        <is>
          <t>2 · Phát triển</t>
        </is>
      </c>
      <c r="C106" s="8" t="inlineStr">
        <is>
          <t>S2</t>
        </is>
      </c>
      <c r="D106" s="8" t="inlineStr">
        <is>
          <t>T7–T8</t>
        </is>
      </c>
      <c r="E106" s="8" t="inlineStr">
        <is>
          <t>DEP</t>
        </is>
      </c>
      <c r="F106" s="8" t="inlineStr">
        <is>
          <t>Hướng dẫn viên</t>
        </is>
      </c>
      <c r="G106" s="8" t="inlineStr">
        <is>
          <t>DEP-03</t>
        </is>
      </c>
      <c r="H106" s="8" t="inlineStr">
        <is>
          <t>SRS 9.8; DB tour_guide_id</t>
        </is>
      </c>
      <c r="I106" s="8" t="inlineStr">
        <is>
          <t>Cài đặt quy tắc nghiệp vụ — Phân công hướng dẫn viên, chặn trùng lịch</t>
        </is>
      </c>
      <c r="J106" s="8" t="n">
        <v>0.5</v>
      </c>
      <c r="K106" s="8" t="inlineStr">
        <is>
          <t>BE</t>
        </is>
      </c>
      <c r="L106" s="8" t="inlineStr">
        <is>
          <t>Tour Manager</t>
        </is>
      </c>
      <c r="M106" s="8" t="inlineStr">
        <is>
          <t>Web quản trị</t>
        </is>
      </c>
      <c r="N106" s="8" t="inlineStr">
        <is>
          <t>T-069</t>
        </is>
      </c>
      <c r="O106" s="8" t="inlineStr"/>
      <c r="P106" s="8" t="inlineStr"/>
      <c r="Q106" s="8" t="inlineStr">
        <is>
          <t>Web + API</t>
        </is>
      </c>
      <c r="R106" s="12" t="inlineStr"/>
      <c r="S106" s="12" t="inlineStr"/>
    </row>
    <row r="107">
      <c r="A107" s="8" t="inlineStr">
        <is>
          <t>T-071</t>
        </is>
      </c>
      <c r="B107" s="8" t="inlineStr">
        <is>
          <t>2 · Phát triển</t>
        </is>
      </c>
      <c r="C107" s="8" t="inlineStr">
        <is>
          <t>S2</t>
        </is>
      </c>
      <c r="D107" s="8" t="inlineStr">
        <is>
          <t>T7–T8</t>
        </is>
      </c>
      <c r="E107" s="8" t="inlineStr">
        <is>
          <t>DEP</t>
        </is>
      </c>
      <c r="F107" s="8" t="inlineStr">
        <is>
          <t>Hướng dẫn viên</t>
        </is>
      </c>
      <c r="G107" s="8" t="inlineStr">
        <is>
          <t>DEP-03</t>
        </is>
      </c>
      <c r="H107" s="8" t="inlineStr">
        <is>
          <t>SRS 9.8; DB tour_guide_id</t>
        </is>
      </c>
      <c r="I107" s="8" t="inlineStr">
        <is>
          <t>Viết test case và kiểm thử — Phân công hướng dẫn viên, chặn trùng lịch</t>
        </is>
      </c>
      <c r="J107" s="8" t="n">
        <v>0.5</v>
      </c>
      <c r="K107" s="8" t="inlineStr">
        <is>
          <t>QC</t>
        </is>
      </c>
      <c r="L107" s="8" t="inlineStr">
        <is>
          <t>Tour Manager</t>
        </is>
      </c>
      <c r="M107" s="8" t="inlineStr">
        <is>
          <t>Web quản trị</t>
        </is>
      </c>
      <c r="N107" s="8" t="inlineStr">
        <is>
          <t>T-070</t>
        </is>
      </c>
      <c r="O107" s="8" t="inlineStr"/>
      <c r="P107" s="8" t="inlineStr"/>
      <c r="Q107" s="8" t="inlineStr">
        <is>
          <t>Web + API</t>
        </is>
      </c>
      <c r="R107" s="12" t="inlineStr"/>
      <c r="S107" s="12" t="inlineStr"/>
    </row>
    <row r="108">
      <c r="A108" s="11" t="inlineStr"/>
      <c r="B108" s="11" t="inlineStr">
        <is>
          <t>2 · Phát triển</t>
        </is>
      </c>
      <c r="C108" s="11" t="inlineStr"/>
      <c r="D108" s="11" t="inlineStr"/>
      <c r="E108" s="11" t="inlineStr">
        <is>
          <t>DEP</t>
        </is>
      </c>
      <c r="F108" s="11" t="inlineStr">
        <is>
          <t>Lịch khởi hành</t>
        </is>
      </c>
      <c r="G108" s="11" t="inlineStr"/>
      <c r="H108" s="11" t="inlineStr"/>
      <c r="I108" s="11" t="inlineStr"/>
      <c r="J108" s="11" t="inlineStr"/>
      <c r="K108" s="11" t="inlineStr"/>
      <c r="L108" s="11" t="inlineStr"/>
      <c r="M108" s="11" t="inlineStr"/>
      <c r="N108" s="11" t="inlineStr"/>
      <c r="O108" s="11" t="inlineStr"/>
      <c r="P108" s="11" t="inlineStr"/>
      <c r="Q108" s="11" t="inlineStr"/>
      <c r="R108" s="11" t="inlineStr"/>
      <c r="S108" s="11" t="inlineStr"/>
    </row>
    <row r="109">
      <c r="A109" s="8" t="inlineStr">
        <is>
          <t>T-072</t>
        </is>
      </c>
      <c r="B109" s="8" t="inlineStr">
        <is>
          <t>2 · Phát triển</t>
        </is>
      </c>
      <c r="C109" s="8" t="inlineStr">
        <is>
          <t>S2</t>
        </is>
      </c>
      <c r="D109" s="8" t="inlineStr">
        <is>
          <t>T7–T8</t>
        </is>
      </c>
      <c r="E109" s="8" t="inlineStr">
        <is>
          <t>DEP</t>
        </is>
      </c>
      <c r="F109" s="8" t="inlineStr">
        <is>
          <t>Lịch khởi hành</t>
        </is>
      </c>
      <c r="G109" s="8" t="inlineStr">
        <is>
          <t>DEP-02</t>
        </is>
      </c>
      <c r="H109" s="8" t="inlineStr">
        <is>
          <t>SRS 9.4, 5.1</t>
        </is>
      </c>
      <c r="I109" s="8" t="inlineStr">
        <is>
          <t>Thiết kế dữ liệu và API — Trạng thái đợt: OPEN → IN_PROGRESS → COMPLETED / CANCELLED, tự chuyển theo ngày hoặc do HDV</t>
        </is>
      </c>
      <c r="J109" s="8" t="n">
        <v>1</v>
      </c>
      <c r="K109" s="8" t="inlineStr">
        <is>
          <t>BE · Tech Lead</t>
        </is>
      </c>
      <c r="L109" s="8" t="inlineStr">
        <is>
          <t>Hệ thống · HDV</t>
        </is>
      </c>
      <c r="M109" s="8" t="inlineStr">
        <is>
          <t>API</t>
        </is>
      </c>
      <c r="N109" s="8" t="inlineStr"/>
      <c r="O109" s="8" t="inlineStr"/>
      <c r="P109" s="8" t="inlineStr"/>
      <c r="Q109" s="8" t="inlineStr">
        <is>
          <t>Web + API</t>
        </is>
      </c>
      <c r="R109" s="12" t="inlineStr"/>
      <c r="S109" s="12" t="inlineStr"/>
    </row>
    <row r="110">
      <c r="A110" s="8" t="inlineStr">
        <is>
          <t>T-073</t>
        </is>
      </c>
      <c r="B110" s="8" t="inlineStr">
        <is>
          <t>2 · Phát triển</t>
        </is>
      </c>
      <c r="C110" s="8" t="inlineStr">
        <is>
          <t>S2</t>
        </is>
      </c>
      <c r="D110" s="8" t="inlineStr">
        <is>
          <t>T7–T8</t>
        </is>
      </c>
      <c r="E110" s="8" t="inlineStr">
        <is>
          <t>DEP</t>
        </is>
      </c>
      <c r="F110" s="8" t="inlineStr">
        <is>
          <t>Lịch khởi hành</t>
        </is>
      </c>
      <c r="G110" s="8" t="inlineStr">
        <is>
          <t>DEP-02</t>
        </is>
      </c>
      <c r="H110" s="8" t="inlineStr">
        <is>
          <t>SRS 9.4, 5.1</t>
        </is>
      </c>
      <c r="I110" s="8" t="inlineStr">
        <is>
          <t>Cài đặt quy tắc nghiệp vụ — Trạng thái đợt: OPEN → IN_PROGRESS → COMPLETED / CANCELLED, tự chuyển theo ngày hoặc do HDV</t>
        </is>
      </c>
      <c r="J110" s="8" t="n">
        <v>1</v>
      </c>
      <c r="K110" s="8" t="inlineStr">
        <is>
          <t>BE</t>
        </is>
      </c>
      <c r="L110" s="8" t="inlineStr">
        <is>
          <t>Hệ thống · HDV</t>
        </is>
      </c>
      <c r="M110" s="8" t="inlineStr">
        <is>
          <t>API</t>
        </is>
      </c>
      <c r="N110" s="8" t="inlineStr">
        <is>
          <t>T-072</t>
        </is>
      </c>
      <c r="O110" s="8" t="inlineStr"/>
      <c r="P110" s="8" t="inlineStr"/>
      <c r="Q110" s="8" t="inlineStr">
        <is>
          <t>Web + API</t>
        </is>
      </c>
      <c r="R110" s="12" t="inlineStr"/>
      <c r="S110" s="12" t="inlineStr"/>
    </row>
    <row r="111">
      <c r="A111" s="8" t="inlineStr">
        <is>
          <t>T-074</t>
        </is>
      </c>
      <c r="B111" s="8" t="inlineStr">
        <is>
          <t>2 · Phát triển</t>
        </is>
      </c>
      <c r="C111" s="8" t="inlineStr">
        <is>
          <t>S2</t>
        </is>
      </c>
      <c r="D111" s="8" t="inlineStr">
        <is>
          <t>T7–T8</t>
        </is>
      </c>
      <c r="E111" s="8" t="inlineStr">
        <is>
          <t>DEP</t>
        </is>
      </c>
      <c r="F111" s="8" t="inlineStr">
        <is>
          <t>Lịch khởi hành</t>
        </is>
      </c>
      <c r="G111" s="8" t="inlineStr">
        <is>
          <t>DEP-02</t>
        </is>
      </c>
      <c r="H111" s="8" t="inlineStr">
        <is>
          <t>SRS 9.4, 5.1</t>
        </is>
      </c>
      <c r="I111" s="8" t="inlineStr">
        <is>
          <t>Viết test case và kiểm thử — Trạng thái đợt: OPEN → IN_PROGRESS → COMPLETED / CANCELLED, tự chuyển theo ngày hoặc do HDV</t>
        </is>
      </c>
      <c r="J111" s="8" t="n">
        <v>0.5</v>
      </c>
      <c r="K111" s="8" t="inlineStr">
        <is>
          <t>QC</t>
        </is>
      </c>
      <c r="L111" s="8" t="inlineStr">
        <is>
          <t>Hệ thống · HDV</t>
        </is>
      </c>
      <c r="M111" s="8" t="inlineStr">
        <is>
          <t>API</t>
        </is>
      </c>
      <c r="N111" s="8" t="inlineStr">
        <is>
          <t>T-073</t>
        </is>
      </c>
      <c r="O111" s="8" t="inlineStr"/>
      <c r="P111" s="8" t="inlineStr"/>
      <c r="Q111" s="8" t="inlineStr">
        <is>
          <t>Web + API</t>
        </is>
      </c>
      <c r="R111" s="12" t="inlineStr"/>
      <c r="S111" s="12" t="inlineStr"/>
    </row>
    <row r="112">
      <c r="A112" s="9" t="inlineStr"/>
      <c r="B112" s="9" t="inlineStr">
        <is>
          <t>2 · Phát triển</t>
        </is>
      </c>
      <c r="C112" s="9" t="inlineStr"/>
      <c r="D112" s="9" t="inlineStr"/>
      <c r="E112" s="9" t="inlineStr">
        <is>
          <t>GUIDE</t>
        </is>
      </c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  <c r="P112" s="9" t="inlineStr"/>
      <c r="Q112" s="9" t="inlineStr"/>
      <c r="R112" s="9" t="inlineStr"/>
      <c r="S112" s="9" t="inlineStr"/>
    </row>
    <row r="113">
      <c r="A113" s="11" t="inlineStr"/>
      <c r="B113" s="11" t="inlineStr">
        <is>
          <t>2 · Phát triển</t>
        </is>
      </c>
      <c r="C113" s="11" t="inlineStr"/>
      <c r="D113" s="11" t="inlineStr"/>
      <c r="E113" s="11" t="inlineStr">
        <is>
          <t>GUIDE</t>
        </is>
      </c>
      <c r="F113" s="11" t="inlineStr">
        <is>
          <t>Hướng dẫn viên</t>
        </is>
      </c>
      <c r="G113" s="11" t="inlineStr"/>
      <c r="H113" s="11" t="inlineStr"/>
      <c r="I113" s="11" t="inlineStr"/>
      <c r="J113" s="11" t="inlineStr"/>
      <c r="K113" s="11" t="inlineStr"/>
      <c r="L113" s="11" t="inlineStr"/>
      <c r="M113" s="11" t="inlineStr"/>
      <c r="N113" s="11" t="inlineStr"/>
      <c r="O113" s="11" t="inlineStr"/>
      <c r="P113" s="11" t="inlineStr"/>
      <c r="Q113" s="11" t="inlineStr"/>
      <c r="R113" s="11" t="inlineStr"/>
      <c r="S113" s="11" t="inlineStr"/>
    </row>
    <row r="114">
      <c r="A114" s="8" t="inlineStr">
        <is>
          <t>T-075</t>
        </is>
      </c>
      <c r="B114" s="8" t="inlineStr">
        <is>
          <t>2 · Phát triển</t>
        </is>
      </c>
      <c r="C114" s="8" t="inlineStr">
        <is>
          <t>S2</t>
        </is>
      </c>
      <c r="D114" s="8" t="inlineStr">
        <is>
          <t>T7–T8</t>
        </is>
      </c>
      <c r="E114" s="8" t="inlineStr">
        <is>
          <t>GUIDE</t>
        </is>
      </c>
      <c r="F114" s="8" t="inlineStr">
        <is>
          <t>Hướng dẫn viên</t>
        </is>
      </c>
      <c r="G114" s="8" t="inlineStr">
        <is>
          <t>GDE-01</t>
        </is>
      </c>
      <c r="H114" s="8" t="inlineStr">
        <is>
          <t>SRS 3.1.3.1</t>
        </is>
      </c>
      <c r="I114" s="8" t="inlineStr">
        <is>
          <t>Thiết kế dữ liệu và API — HDV xem các đợt được phân công và danh sách khách</t>
        </is>
      </c>
      <c r="J114" s="8" t="n">
        <v>1</v>
      </c>
      <c r="K114" s="8" t="inlineStr">
        <is>
          <t>BE · Tech Lead</t>
        </is>
      </c>
      <c r="L114" s="8" t="inlineStr">
        <is>
          <t>Tour Guide</t>
        </is>
      </c>
      <c r="M114" s="8" t="inlineStr">
        <is>
          <t>Web</t>
        </is>
      </c>
      <c r="N114" s="8" t="inlineStr"/>
      <c r="O114" s="8" t="inlineStr"/>
      <c r="P114" s="8" t="inlineStr"/>
      <c r="Q114" s="8" t="inlineStr">
        <is>
          <t>Web + API</t>
        </is>
      </c>
      <c r="R114" s="12" t="inlineStr"/>
      <c r="S114" s="12" t="inlineStr"/>
    </row>
    <row r="115">
      <c r="A115" s="8" t="inlineStr">
        <is>
          <t>T-076</t>
        </is>
      </c>
      <c r="B115" s="8" t="inlineStr">
        <is>
          <t>2 · Phát triển</t>
        </is>
      </c>
      <c r="C115" s="8" t="inlineStr">
        <is>
          <t>S2</t>
        </is>
      </c>
      <c r="D115" s="8" t="inlineStr">
        <is>
          <t>T7–T8</t>
        </is>
      </c>
      <c r="E115" s="8" t="inlineStr">
        <is>
          <t>GUIDE</t>
        </is>
      </c>
      <c r="F115" s="8" t="inlineStr">
        <is>
          <t>Hướng dẫn viên</t>
        </is>
      </c>
      <c r="G115" s="8" t="inlineStr">
        <is>
          <t>GDE-01</t>
        </is>
      </c>
      <c r="H115" s="8" t="inlineStr">
        <is>
          <t>SRS 3.1.3.1</t>
        </is>
      </c>
      <c r="I115" s="8" t="inlineStr">
        <is>
          <t>Giao diện và kết nối API — HDV xem các đợt được phân công và danh sách khách</t>
        </is>
      </c>
      <c r="J115" s="8" t="n">
        <v>1</v>
      </c>
      <c r="K115" s="8" t="inlineStr">
        <is>
          <t>FE · Design</t>
        </is>
      </c>
      <c r="L115" s="8" t="inlineStr">
        <is>
          <t>Tour Guide</t>
        </is>
      </c>
      <c r="M115" s="8" t="inlineStr">
        <is>
          <t>Web</t>
        </is>
      </c>
      <c r="N115" s="8" t="inlineStr">
        <is>
          <t>T-075</t>
        </is>
      </c>
      <c r="O115" s="8" t="inlineStr"/>
      <c r="P115" s="8" t="inlineStr"/>
      <c r="Q115" s="8" t="inlineStr">
        <is>
          <t>Web + API</t>
        </is>
      </c>
      <c r="R115" s="12" t="inlineStr"/>
      <c r="S115" s="12" t="inlineStr"/>
    </row>
    <row r="116">
      <c r="A116" s="8" t="inlineStr">
        <is>
          <t>T-077</t>
        </is>
      </c>
      <c r="B116" s="8" t="inlineStr">
        <is>
          <t>2 · Phát triển</t>
        </is>
      </c>
      <c r="C116" s="8" t="inlineStr">
        <is>
          <t>S2</t>
        </is>
      </c>
      <c r="D116" s="8" t="inlineStr">
        <is>
          <t>T7–T8</t>
        </is>
      </c>
      <c r="E116" s="8" t="inlineStr">
        <is>
          <t>GUIDE</t>
        </is>
      </c>
      <c r="F116" s="8" t="inlineStr">
        <is>
          <t>Hướng dẫn viên</t>
        </is>
      </c>
      <c r="G116" s="8" t="inlineStr">
        <is>
          <t>GDE-01</t>
        </is>
      </c>
      <c r="H116" s="8" t="inlineStr">
        <is>
          <t>SRS 3.1.3.1</t>
        </is>
      </c>
      <c r="I116" s="8" t="inlineStr">
        <is>
          <t>Kiểm thử — HDV xem các đợt được phân công và danh sách khách</t>
        </is>
      </c>
      <c r="J116" s="8" t="n">
        <v>0.5</v>
      </c>
      <c r="K116" s="8" t="inlineStr">
        <is>
          <t>QC</t>
        </is>
      </c>
      <c r="L116" s="8" t="inlineStr">
        <is>
          <t>Tour Guide</t>
        </is>
      </c>
      <c r="M116" s="8" t="inlineStr">
        <is>
          <t>Web</t>
        </is>
      </c>
      <c r="N116" s="8" t="inlineStr">
        <is>
          <t>T-076</t>
        </is>
      </c>
      <c r="O116" s="8" t="inlineStr"/>
      <c r="P116" s="8" t="inlineStr"/>
      <c r="Q116" s="8" t="inlineStr">
        <is>
          <t>Web + API</t>
        </is>
      </c>
      <c r="R116" s="12" t="inlineStr"/>
      <c r="S116" s="12" t="inlineStr"/>
    </row>
    <row r="117">
      <c r="A117" s="8" t="inlineStr">
        <is>
          <t>T-078</t>
        </is>
      </c>
      <c r="B117" s="8" t="inlineStr">
        <is>
          <t>2 · Phát triển</t>
        </is>
      </c>
      <c r="C117" s="8" t="inlineStr">
        <is>
          <t>S2</t>
        </is>
      </c>
      <c r="D117" s="8" t="inlineStr">
        <is>
          <t>T7–T8</t>
        </is>
      </c>
      <c r="E117" s="8" t="inlineStr">
        <is>
          <t>GUIDE</t>
        </is>
      </c>
      <c r="F117" s="8" t="inlineStr">
        <is>
          <t>Hướng dẫn viên</t>
        </is>
      </c>
      <c r="G117" s="8" t="inlineStr">
        <is>
          <t>GDE-02</t>
        </is>
      </c>
      <c r="H117" s="8" t="inlineStr">
        <is>
          <t>SRS 3.1.3.2, 5.1</t>
        </is>
      </c>
      <c r="I117" s="8" t="inlineStr">
        <is>
          <t>Thiết kế dữ liệu và API — HDV cập nhật trạng thái đợt, kết thúc tour để mở đánh giá</t>
        </is>
      </c>
      <c r="J117" s="8" t="n">
        <v>0.5</v>
      </c>
      <c r="K117" s="8" t="inlineStr">
        <is>
          <t>BE · Tech Lead</t>
        </is>
      </c>
      <c r="L117" s="8" t="inlineStr">
        <is>
          <t>Tour Guide</t>
        </is>
      </c>
      <c r="M117" s="8" t="inlineStr">
        <is>
          <t>Web + API</t>
        </is>
      </c>
      <c r="N117" s="8" t="inlineStr"/>
      <c r="O117" s="8" t="inlineStr">
        <is>
          <t>✓</t>
        </is>
      </c>
      <c r="P117" s="8" t="inlineStr"/>
      <c r="Q117" s="8" t="inlineStr">
        <is>
          <t>Web + API</t>
        </is>
      </c>
      <c r="R117" s="12" t="inlineStr"/>
      <c r="S117" s="12" t="inlineStr"/>
    </row>
    <row r="118">
      <c r="A118" s="8" t="inlineStr">
        <is>
          <t>T-079</t>
        </is>
      </c>
      <c r="B118" s="8" t="inlineStr">
        <is>
          <t>2 · Phát triển</t>
        </is>
      </c>
      <c r="C118" s="8" t="inlineStr">
        <is>
          <t>S2</t>
        </is>
      </c>
      <c r="D118" s="8" t="inlineStr">
        <is>
          <t>T7–T8</t>
        </is>
      </c>
      <c r="E118" s="8" t="inlineStr">
        <is>
          <t>GUIDE</t>
        </is>
      </c>
      <c r="F118" s="8" t="inlineStr">
        <is>
          <t>Hướng dẫn viên</t>
        </is>
      </c>
      <c r="G118" s="8" t="inlineStr">
        <is>
          <t>GDE-02</t>
        </is>
      </c>
      <c r="H118" s="8" t="inlineStr">
        <is>
          <t>SRS 3.1.3.2, 5.1</t>
        </is>
      </c>
      <c r="I118" s="8" t="inlineStr">
        <is>
          <t>Giao diện và kết nối API — HDV cập nhật trạng thái đợt, kết thúc tour để mở đánh giá</t>
        </is>
      </c>
      <c r="J118" s="8" t="n">
        <v>0.5</v>
      </c>
      <c r="K118" s="8" t="inlineStr">
        <is>
          <t>FE · Design</t>
        </is>
      </c>
      <c r="L118" s="8" t="inlineStr">
        <is>
          <t>Tour Guide</t>
        </is>
      </c>
      <c r="M118" s="8" t="inlineStr">
        <is>
          <t>Web + API</t>
        </is>
      </c>
      <c r="N118" s="8" t="inlineStr">
        <is>
          <t>T-078</t>
        </is>
      </c>
      <c r="O118" s="8" t="inlineStr">
        <is>
          <t>✓</t>
        </is>
      </c>
      <c r="P118" s="8" t="inlineStr"/>
      <c r="Q118" s="8" t="inlineStr">
        <is>
          <t>Web + API</t>
        </is>
      </c>
      <c r="R118" s="12" t="inlineStr"/>
      <c r="S118" s="12" t="inlineStr"/>
    </row>
    <row r="119">
      <c r="A119" s="8" t="inlineStr">
        <is>
          <t>T-080</t>
        </is>
      </c>
      <c r="B119" s="8" t="inlineStr">
        <is>
          <t>2 · Phát triển</t>
        </is>
      </c>
      <c r="C119" s="8" t="inlineStr">
        <is>
          <t>S2</t>
        </is>
      </c>
      <c r="D119" s="8" t="inlineStr">
        <is>
          <t>T7–T8</t>
        </is>
      </c>
      <c r="E119" s="8" t="inlineStr">
        <is>
          <t>GUIDE</t>
        </is>
      </c>
      <c r="F119" s="8" t="inlineStr">
        <is>
          <t>Hướng dẫn viên</t>
        </is>
      </c>
      <c r="G119" s="8" t="inlineStr">
        <is>
          <t>GDE-02</t>
        </is>
      </c>
      <c r="H119" s="8" t="inlineStr">
        <is>
          <t>SRS 3.1.3.2, 5.1</t>
        </is>
      </c>
      <c r="I119" s="8" t="inlineStr">
        <is>
          <t>Kiểm thử — HDV cập nhật trạng thái đợt, kết thúc tour để mở đánh giá</t>
        </is>
      </c>
      <c r="J119" s="8" t="n">
        <v>0.5</v>
      </c>
      <c r="K119" s="8" t="inlineStr">
        <is>
          <t>QC</t>
        </is>
      </c>
      <c r="L119" s="8" t="inlineStr">
        <is>
          <t>Tour Guide</t>
        </is>
      </c>
      <c r="M119" s="8" t="inlineStr">
        <is>
          <t>Web + API</t>
        </is>
      </c>
      <c r="N119" s="8" t="inlineStr">
        <is>
          <t>T-079</t>
        </is>
      </c>
      <c r="O119" s="8" t="inlineStr">
        <is>
          <t>✓</t>
        </is>
      </c>
      <c r="P119" s="8" t="inlineStr"/>
      <c r="Q119" s="8" t="inlineStr">
        <is>
          <t>Web + API</t>
        </is>
      </c>
      <c r="R119" s="12" t="inlineStr"/>
      <c r="S119" s="12" t="inlineStr"/>
    </row>
    <row r="120">
      <c r="A120" s="9" t="inlineStr"/>
      <c r="B120" s="9" t="inlineStr">
        <is>
          <t>2 · Phát triển</t>
        </is>
      </c>
      <c r="C120" s="9" t="inlineStr"/>
      <c r="D120" s="9" t="inlineStr"/>
      <c r="E120" s="9" t="inlineStr">
        <is>
          <t>NỀN</t>
        </is>
      </c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inlineStr"/>
    </row>
    <row r="121">
      <c r="A121" s="11" t="inlineStr"/>
      <c r="B121" s="11" t="inlineStr">
        <is>
          <t>2 · Phát triển</t>
        </is>
      </c>
      <c r="C121" s="11" t="inlineStr"/>
      <c r="D121" s="11" t="inlineStr"/>
      <c r="E121" s="11" t="inlineStr">
        <is>
          <t>NỀN</t>
        </is>
      </c>
      <c r="F121" s="11" t="inlineStr">
        <is>
          <t>Nền tảng</t>
        </is>
      </c>
      <c r="G121" s="11" t="inlineStr"/>
      <c r="H121" s="11" t="inlineStr"/>
      <c r="I121" s="11" t="inlineStr"/>
      <c r="J121" s="11" t="inlineStr"/>
      <c r="K121" s="11" t="inlineStr"/>
      <c r="L121" s="11" t="inlineStr"/>
      <c r="M121" s="11" t="inlineStr"/>
      <c r="N121" s="11" t="inlineStr"/>
      <c r="O121" s="11" t="inlineStr"/>
      <c r="P121" s="11" t="inlineStr"/>
      <c r="Q121" s="11" t="inlineStr"/>
      <c r="R121" s="11" t="inlineStr"/>
      <c r="S121" s="11" t="inlineStr"/>
    </row>
    <row r="122">
      <c r="A122" s="8" t="inlineStr">
        <is>
          <t>T-081</t>
        </is>
      </c>
      <c r="B122" s="8" t="inlineStr">
        <is>
          <t>2 · Phát triển</t>
        </is>
      </c>
      <c r="C122" s="8" t="inlineStr">
        <is>
          <t>S2</t>
        </is>
      </c>
      <c r="D122" s="8" t="inlineStr">
        <is>
          <t>T7–T8</t>
        </is>
      </c>
      <c r="E122" s="8" t="inlineStr">
        <is>
          <t>NỀN</t>
        </is>
      </c>
      <c r="F122" s="8" t="inlineStr">
        <is>
          <t>Nền tảng</t>
        </is>
      </c>
      <c r="G122" s="8" t="inlineStr">
        <is>
          <t>SYS-06</t>
        </is>
      </c>
      <c r="H122" s="8" t="inlineStr">
        <is>
          <t>BE structure (R2)</t>
        </is>
      </c>
      <c r="I122" s="8" t="inlineStr">
        <is>
          <t>Lớp trung gian (adapter) — Lưu ảnh qua adapter: cục bộ mặc định, Cloudflare R2 khi có khoá</t>
        </is>
      </c>
      <c r="J122" s="8" t="n">
        <v>1</v>
      </c>
      <c r="K122" s="8" t="inlineStr">
        <is>
          <t>BE · Tech Lead</t>
        </is>
      </c>
      <c r="L122" s="8" t="inlineStr">
        <is>
          <t>Mentor</t>
        </is>
      </c>
      <c r="M122" s="8" t="inlineStr">
        <is>
          <t>API</t>
        </is>
      </c>
      <c r="N122" s="8" t="inlineStr"/>
      <c r="O122" s="8" t="inlineStr"/>
      <c r="P122" s="8" t="inlineStr"/>
      <c r="Q122" s="8" t="inlineStr">
        <is>
          <t>Web + API</t>
        </is>
      </c>
      <c r="R122" s="12" t="inlineStr"/>
      <c r="S122" s="12" t="inlineStr"/>
    </row>
    <row r="123">
      <c r="A123" s="8" t="inlineStr">
        <is>
          <t>T-082</t>
        </is>
      </c>
      <c r="B123" s="8" t="inlineStr">
        <is>
          <t>2 · Phát triển</t>
        </is>
      </c>
      <c r="C123" s="8" t="inlineStr">
        <is>
          <t>S2</t>
        </is>
      </c>
      <c r="D123" s="8" t="inlineStr">
        <is>
          <t>T7–T8</t>
        </is>
      </c>
      <c r="E123" s="8" t="inlineStr">
        <is>
          <t>NỀN</t>
        </is>
      </c>
      <c r="F123" s="8" t="inlineStr">
        <is>
          <t>Nền tảng</t>
        </is>
      </c>
      <c r="G123" s="8" t="inlineStr">
        <is>
          <t>SYS-06</t>
        </is>
      </c>
      <c r="H123" s="8" t="inlineStr">
        <is>
          <t>BE structure (R2)</t>
        </is>
      </c>
      <c r="I123" s="8" t="inlineStr">
        <is>
          <t>Webhook, đối soát và xử lý lỗi — Lưu ảnh qua adapter: cục bộ mặc định, Cloudflare R2 khi có khoá</t>
        </is>
      </c>
      <c r="J123" s="8" t="n">
        <v>1</v>
      </c>
      <c r="K123" s="8" t="inlineStr">
        <is>
          <t>BE</t>
        </is>
      </c>
      <c r="L123" s="8" t="inlineStr">
        <is>
          <t>Mentor</t>
        </is>
      </c>
      <c r="M123" s="8" t="inlineStr">
        <is>
          <t>API</t>
        </is>
      </c>
      <c r="N123" s="8" t="inlineStr">
        <is>
          <t>T-081</t>
        </is>
      </c>
      <c r="O123" s="8" t="inlineStr"/>
      <c r="P123" s="8" t="inlineStr"/>
      <c r="Q123" s="8" t="inlineStr">
        <is>
          <t>Web + API</t>
        </is>
      </c>
      <c r="R123" s="12" t="inlineStr"/>
      <c r="S123" s="12" t="inlineStr"/>
    </row>
    <row r="124">
      <c r="A124" s="8" t="inlineStr">
        <is>
          <t>T-083</t>
        </is>
      </c>
      <c r="B124" s="8" t="inlineStr">
        <is>
          <t>2 · Phát triển</t>
        </is>
      </c>
      <c r="C124" s="8" t="inlineStr">
        <is>
          <t>S2</t>
        </is>
      </c>
      <c r="D124" s="8" t="inlineStr">
        <is>
          <t>T7–T8</t>
        </is>
      </c>
      <c r="E124" s="8" t="inlineStr">
        <is>
          <t>NỀN</t>
        </is>
      </c>
      <c r="F124" s="8" t="inlineStr">
        <is>
          <t>Nền tảng</t>
        </is>
      </c>
      <c r="G124" s="8" t="inlineStr">
        <is>
          <t>SYS-06</t>
        </is>
      </c>
      <c r="H124" s="8" t="inlineStr">
        <is>
          <t>BE structure (R2)</t>
        </is>
      </c>
      <c r="I124" s="8" t="inlineStr">
        <is>
          <t>Kiểm thử trên sandbox — Lưu ảnh qua adapter: cục bộ mặc định, Cloudflare R2 khi có khoá</t>
        </is>
      </c>
      <c r="J124" s="8" t="n">
        <v>1</v>
      </c>
      <c r="K124" s="8" t="inlineStr">
        <is>
          <t>QC</t>
        </is>
      </c>
      <c r="L124" s="8" t="inlineStr">
        <is>
          <t>Mentor</t>
        </is>
      </c>
      <c r="M124" s="8" t="inlineStr">
        <is>
          <t>API</t>
        </is>
      </c>
      <c r="N124" s="8" t="inlineStr">
        <is>
          <t>T-082</t>
        </is>
      </c>
      <c r="O124" s="8" t="inlineStr"/>
      <c r="P124" s="8" t="inlineStr"/>
      <c r="Q124" s="8" t="inlineStr">
        <is>
          <t>Web + API</t>
        </is>
      </c>
      <c r="R124" s="12" t="inlineStr"/>
      <c r="S124" s="12" t="inlineStr"/>
    </row>
    <row r="125">
      <c r="A125" s="9" t="inlineStr"/>
      <c r="B125" s="9" t="inlineStr">
        <is>
          <t>2 · Phát triển</t>
        </is>
      </c>
      <c r="C125" s="9" t="inlineStr"/>
      <c r="D125" s="9" t="inlineStr"/>
      <c r="E125" s="9" t="inlineStr">
        <is>
          <t>PAY</t>
        </is>
      </c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9" t="inlineStr"/>
      <c r="Q125" s="9" t="inlineStr"/>
      <c r="R125" s="9" t="inlineStr"/>
      <c r="S125" s="9" t="inlineStr"/>
    </row>
    <row r="126">
      <c r="A126" s="11" t="inlineStr"/>
      <c r="B126" s="11" t="inlineStr">
        <is>
          <t>2 · Phát triển</t>
        </is>
      </c>
      <c r="C126" s="11" t="inlineStr"/>
      <c r="D126" s="11" t="inlineStr"/>
      <c r="E126" s="11" t="inlineStr">
        <is>
          <t>PAY</t>
        </is>
      </c>
      <c r="F126" s="11" t="inlineStr">
        <is>
          <t>Thanh toán</t>
        </is>
      </c>
      <c r="G126" s="11" t="inlineStr"/>
      <c r="H126" s="11" t="inlineStr"/>
      <c r="I126" s="11" t="inlineStr"/>
      <c r="J126" s="11" t="inlineStr"/>
      <c r="K126" s="11" t="inlineStr"/>
      <c r="L126" s="11" t="inlineStr"/>
      <c r="M126" s="11" t="inlineStr"/>
      <c r="N126" s="11" t="inlineStr"/>
      <c r="O126" s="11" t="inlineStr"/>
      <c r="P126" s="11" t="inlineStr"/>
      <c r="Q126" s="11" t="inlineStr"/>
      <c r="R126" s="11" t="inlineStr"/>
      <c r="S126" s="11" t="inlineStr"/>
    </row>
    <row r="127">
      <c r="A127" s="8" t="inlineStr">
        <is>
          <t>T-084</t>
        </is>
      </c>
      <c r="B127" s="8" t="inlineStr">
        <is>
          <t>2 · Phát triển</t>
        </is>
      </c>
      <c r="C127" s="8" t="inlineStr">
        <is>
          <t>S2</t>
        </is>
      </c>
      <c r="D127" s="8" t="inlineStr">
        <is>
          <t>T7–T8</t>
        </is>
      </c>
      <c r="E127" s="8" t="inlineStr">
        <is>
          <t>PAY</t>
        </is>
      </c>
      <c r="F127" s="8" t="inlineStr">
        <is>
          <t>Thanh toán</t>
        </is>
      </c>
      <c r="G127" s="8" t="inlineStr">
        <is>
          <t>PAY-01</t>
        </is>
      </c>
      <c r="H127" s="8" t="inlineStr">
        <is>
          <t>SRS 4.7; Arch 1.4; API 4.3</t>
        </is>
      </c>
      <c r="I127" s="8" t="inlineStr">
        <is>
          <t>Lớp trung gian (adapter) — Thanh toán qua adapter cổng: cổng giả lập mặc định, Stripe Checkout khi có khoá</t>
        </is>
      </c>
      <c r="J127" s="8" t="n">
        <v>2</v>
      </c>
      <c r="K127" s="8" t="inlineStr">
        <is>
          <t>BE · Tech Lead</t>
        </is>
      </c>
      <c r="L127" s="8" t="inlineStr">
        <is>
          <t>Khách</t>
        </is>
      </c>
      <c r="M127" s="8" t="inlineStr">
        <is>
          <t>Web + API</t>
        </is>
      </c>
      <c r="N127" s="8" t="inlineStr"/>
      <c r="O127" s="8" t="inlineStr">
        <is>
          <t>✓</t>
        </is>
      </c>
      <c r="P127" s="8" t="inlineStr"/>
      <c r="Q127" s="8" t="inlineStr">
        <is>
          <t>Web + API</t>
        </is>
      </c>
      <c r="R127" s="12" t="inlineStr"/>
      <c r="S127" s="12" t="inlineStr"/>
    </row>
    <row r="128">
      <c r="A128" s="8" t="inlineStr">
        <is>
          <t>T-085</t>
        </is>
      </c>
      <c r="B128" s="8" t="inlineStr">
        <is>
          <t>2 · Phát triển</t>
        </is>
      </c>
      <c r="C128" s="8" t="inlineStr">
        <is>
          <t>S2</t>
        </is>
      </c>
      <c r="D128" s="8" t="inlineStr">
        <is>
          <t>T7–T8</t>
        </is>
      </c>
      <c r="E128" s="8" t="inlineStr">
        <is>
          <t>PAY</t>
        </is>
      </c>
      <c r="F128" s="8" t="inlineStr">
        <is>
          <t>Thanh toán</t>
        </is>
      </c>
      <c r="G128" s="8" t="inlineStr">
        <is>
          <t>PAY-01</t>
        </is>
      </c>
      <c r="H128" s="8" t="inlineStr">
        <is>
          <t>SRS 4.7; Arch 1.4; API 4.3</t>
        </is>
      </c>
      <c r="I128" s="8" t="inlineStr">
        <is>
          <t>Webhook, đối soát và xử lý lỗi — Thanh toán qua adapter cổng: cổng giả lập mặc định, Stripe Checkout khi có khoá</t>
        </is>
      </c>
      <c r="J128" s="8" t="n">
        <v>1.5</v>
      </c>
      <c r="K128" s="8" t="inlineStr">
        <is>
          <t>BE</t>
        </is>
      </c>
      <c r="L128" s="8" t="inlineStr">
        <is>
          <t>Khách</t>
        </is>
      </c>
      <c r="M128" s="8" t="inlineStr">
        <is>
          <t>Web + API</t>
        </is>
      </c>
      <c r="N128" s="8" t="inlineStr">
        <is>
          <t>T-084</t>
        </is>
      </c>
      <c r="O128" s="8" t="inlineStr">
        <is>
          <t>✓</t>
        </is>
      </c>
      <c r="P128" s="8" t="inlineStr"/>
      <c r="Q128" s="8" t="inlineStr">
        <is>
          <t>Web + API</t>
        </is>
      </c>
      <c r="R128" s="12" t="inlineStr"/>
      <c r="S128" s="12" t="inlineStr"/>
    </row>
    <row r="129">
      <c r="A129" s="8" t="inlineStr">
        <is>
          <t>T-086</t>
        </is>
      </c>
      <c r="B129" s="8" t="inlineStr">
        <is>
          <t>2 · Phát triển</t>
        </is>
      </c>
      <c r="C129" s="8" t="inlineStr">
        <is>
          <t>S2</t>
        </is>
      </c>
      <c r="D129" s="8" t="inlineStr">
        <is>
          <t>T7–T8</t>
        </is>
      </c>
      <c r="E129" s="8" t="inlineStr">
        <is>
          <t>PAY</t>
        </is>
      </c>
      <c r="F129" s="8" t="inlineStr">
        <is>
          <t>Thanh toán</t>
        </is>
      </c>
      <c r="G129" s="8" t="inlineStr">
        <is>
          <t>PAY-01</t>
        </is>
      </c>
      <c r="H129" s="8" t="inlineStr">
        <is>
          <t>SRS 4.7; Arch 1.4; API 4.3</t>
        </is>
      </c>
      <c r="I129" s="8" t="inlineStr">
        <is>
          <t>Kiểm thử trên sandbox — Thanh toán qua adapter cổng: cổng giả lập mặc định, Stripe Checkout khi có khoá</t>
        </is>
      </c>
      <c r="J129" s="8" t="n">
        <v>1.5</v>
      </c>
      <c r="K129" s="8" t="inlineStr">
        <is>
          <t>QC</t>
        </is>
      </c>
      <c r="L129" s="8" t="inlineStr">
        <is>
          <t>Khách</t>
        </is>
      </c>
      <c r="M129" s="8" t="inlineStr">
        <is>
          <t>Web + API</t>
        </is>
      </c>
      <c r="N129" s="8" t="inlineStr">
        <is>
          <t>T-085</t>
        </is>
      </c>
      <c r="O129" s="8" t="inlineStr">
        <is>
          <t>✓</t>
        </is>
      </c>
      <c r="P129" s="8" t="inlineStr"/>
      <c r="Q129" s="8" t="inlineStr">
        <is>
          <t>Web + API</t>
        </is>
      </c>
      <c r="R129" s="12" t="inlineStr"/>
      <c r="S129" s="12" t="inlineStr"/>
    </row>
    <row r="130">
      <c r="A130" s="8" t="inlineStr">
        <is>
          <t>T-087</t>
        </is>
      </c>
      <c r="B130" s="8" t="inlineStr">
        <is>
          <t>2 · Phát triển</t>
        </is>
      </c>
      <c r="C130" s="8" t="inlineStr">
        <is>
          <t>S2</t>
        </is>
      </c>
      <c r="D130" s="8" t="inlineStr">
        <is>
          <t>T7–T8</t>
        </is>
      </c>
      <c r="E130" s="8" t="inlineStr">
        <is>
          <t>PAY</t>
        </is>
      </c>
      <c r="F130" s="8" t="inlineStr">
        <is>
          <t>Thanh toán</t>
        </is>
      </c>
      <c r="G130" s="8" t="inlineStr">
        <is>
          <t>PAY-02</t>
        </is>
      </c>
      <c r="H130" s="8" t="inlineStr">
        <is>
          <t>API 4.3 stripe/webhook; DB transaction_code</t>
        </is>
      </c>
      <c r="I130" s="8" t="inlineStr">
        <is>
          <t>Lớp trung gian (adapter) — Webhook cổng thanh toán: xác minh chữ ký, chống xử lý trùng theo mã giao dịch</t>
        </is>
      </c>
      <c r="J130" s="8" t="n">
        <v>1</v>
      </c>
      <c r="K130" s="8" t="inlineStr">
        <is>
          <t>BE · Tech Lead</t>
        </is>
      </c>
      <c r="L130" s="8" t="inlineStr">
        <is>
          <t>Hệ thống</t>
        </is>
      </c>
      <c r="M130" s="8" t="inlineStr">
        <is>
          <t>API</t>
        </is>
      </c>
      <c r="N130" s="8" t="inlineStr"/>
      <c r="O130" s="8" t="inlineStr">
        <is>
          <t>✓</t>
        </is>
      </c>
      <c r="P130" s="8" t="inlineStr"/>
      <c r="Q130" s="8" t="inlineStr">
        <is>
          <t>Web + API</t>
        </is>
      </c>
      <c r="R130" s="12" t="inlineStr"/>
      <c r="S130" s="12" t="inlineStr"/>
    </row>
    <row r="131">
      <c r="A131" s="8" t="inlineStr">
        <is>
          <t>T-088</t>
        </is>
      </c>
      <c r="B131" s="8" t="inlineStr">
        <is>
          <t>2 · Phát triển</t>
        </is>
      </c>
      <c r="C131" s="8" t="inlineStr">
        <is>
          <t>S2</t>
        </is>
      </c>
      <c r="D131" s="8" t="inlineStr">
        <is>
          <t>T7–T8</t>
        </is>
      </c>
      <c r="E131" s="8" t="inlineStr">
        <is>
          <t>PAY</t>
        </is>
      </c>
      <c r="F131" s="8" t="inlineStr">
        <is>
          <t>Thanh toán</t>
        </is>
      </c>
      <c r="G131" s="8" t="inlineStr">
        <is>
          <t>PAY-02</t>
        </is>
      </c>
      <c r="H131" s="8" t="inlineStr">
        <is>
          <t>API 4.3 stripe/webhook; DB transaction_code</t>
        </is>
      </c>
      <c r="I131" s="8" t="inlineStr">
        <is>
          <t>Webhook, đối soát và xử lý lỗi — Webhook cổng thanh toán: xác minh chữ ký, chống xử lý trùng theo mã giao dịch</t>
        </is>
      </c>
      <c r="J131" s="8" t="n">
        <v>1</v>
      </c>
      <c r="K131" s="8" t="inlineStr">
        <is>
          <t>BE</t>
        </is>
      </c>
      <c r="L131" s="8" t="inlineStr">
        <is>
          <t>Hệ thống</t>
        </is>
      </c>
      <c r="M131" s="8" t="inlineStr">
        <is>
          <t>API</t>
        </is>
      </c>
      <c r="N131" s="8" t="inlineStr">
        <is>
          <t>T-087</t>
        </is>
      </c>
      <c r="O131" s="8" t="inlineStr">
        <is>
          <t>✓</t>
        </is>
      </c>
      <c r="P131" s="8" t="inlineStr"/>
      <c r="Q131" s="8" t="inlineStr">
        <is>
          <t>Web + API</t>
        </is>
      </c>
      <c r="R131" s="12" t="inlineStr"/>
      <c r="S131" s="12" t="inlineStr"/>
    </row>
    <row r="132">
      <c r="A132" s="8" t="inlineStr">
        <is>
          <t>T-089</t>
        </is>
      </c>
      <c r="B132" s="8" t="inlineStr">
        <is>
          <t>2 · Phát triển</t>
        </is>
      </c>
      <c r="C132" s="8" t="inlineStr">
        <is>
          <t>S2</t>
        </is>
      </c>
      <c r="D132" s="8" t="inlineStr">
        <is>
          <t>T7–T8</t>
        </is>
      </c>
      <c r="E132" s="8" t="inlineStr">
        <is>
          <t>PAY</t>
        </is>
      </c>
      <c r="F132" s="8" t="inlineStr">
        <is>
          <t>Thanh toán</t>
        </is>
      </c>
      <c r="G132" s="8" t="inlineStr">
        <is>
          <t>PAY-02</t>
        </is>
      </c>
      <c r="H132" s="8" t="inlineStr">
        <is>
          <t>API 4.3 stripe/webhook; DB transaction_code</t>
        </is>
      </c>
      <c r="I132" s="8" t="inlineStr">
        <is>
          <t>Kiểm thử trên sandbox — Webhook cổng thanh toán: xác minh chữ ký, chống xử lý trùng theo mã giao dịch</t>
        </is>
      </c>
      <c r="J132" s="8" t="n">
        <v>1</v>
      </c>
      <c r="K132" s="8" t="inlineStr">
        <is>
          <t>QC</t>
        </is>
      </c>
      <c r="L132" s="8" t="inlineStr">
        <is>
          <t>Hệ thống</t>
        </is>
      </c>
      <c r="M132" s="8" t="inlineStr">
        <is>
          <t>API</t>
        </is>
      </c>
      <c r="N132" s="8" t="inlineStr">
        <is>
          <t>T-088</t>
        </is>
      </c>
      <c r="O132" s="8" t="inlineStr">
        <is>
          <t>✓</t>
        </is>
      </c>
      <c r="P132" s="8" t="inlineStr"/>
      <c r="Q132" s="8" t="inlineStr">
        <is>
          <t>Web + API</t>
        </is>
      </c>
      <c r="R132" s="12" t="inlineStr"/>
      <c r="S132" s="12" t="inlineStr"/>
    </row>
    <row r="133">
      <c r="A133" s="9" t="inlineStr"/>
      <c r="B133" s="9" t="inlineStr">
        <is>
          <t>2 · Phát triển</t>
        </is>
      </c>
      <c r="C133" s="9" t="inlineStr"/>
      <c r="D133" s="9" t="inlineStr"/>
      <c r="E133" s="9" t="inlineStr">
        <is>
          <t>ACC</t>
        </is>
      </c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  <c r="P133" s="9" t="inlineStr"/>
      <c r="Q133" s="9" t="inlineStr"/>
      <c r="R133" s="9" t="inlineStr"/>
      <c r="S133" s="9" t="inlineStr"/>
    </row>
    <row r="134">
      <c r="A134" s="11" t="inlineStr"/>
      <c r="B134" s="11" t="inlineStr">
        <is>
          <t>2 · Phát triển</t>
        </is>
      </c>
      <c r="C134" s="11" t="inlineStr"/>
      <c r="D134" s="11" t="inlineStr"/>
      <c r="E134" s="11" t="inlineStr">
        <is>
          <t>ACC</t>
        </is>
      </c>
      <c r="F134" s="11" t="inlineStr">
        <is>
          <t>Xác thực</t>
        </is>
      </c>
      <c r="G134" s="11" t="inlineStr"/>
      <c r="H134" s="11" t="inlineStr"/>
      <c r="I134" s="11" t="inlineStr"/>
      <c r="J134" s="11" t="inlineStr"/>
      <c r="K134" s="11" t="inlineStr"/>
      <c r="L134" s="11" t="inlineStr"/>
      <c r="M134" s="11" t="inlineStr"/>
      <c r="N134" s="11" t="inlineStr"/>
      <c r="O134" s="11" t="inlineStr"/>
      <c r="P134" s="11" t="inlineStr"/>
      <c r="Q134" s="11" t="inlineStr"/>
      <c r="R134" s="11" t="inlineStr"/>
      <c r="S134" s="11" t="inlineStr"/>
    </row>
    <row r="135">
      <c r="A135" s="8" t="inlineStr">
        <is>
          <t>T-090</t>
        </is>
      </c>
      <c r="B135" s="8" t="inlineStr">
        <is>
          <t>2 · Phát triển</t>
        </is>
      </c>
      <c r="C135" s="8" t="inlineStr">
        <is>
          <t>S3</t>
        </is>
      </c>
      <c r="D135" s="8" t="inlineStr">
        <is>
          <t>T9–T10</t>
        </is>
      </c>
      <c r="E135" s="8" t="inlineStr">
        <is>
          <t>ACC</t>
        </is>
      </c>
      <c r="F135" s="8" t="inlineStr">
        <is>
          <t>Xác thực</t>
        </is>
      </c>
      <c r="G135" s="8" t="inlineStr">
        <is>
          <t>ACC-04</t>
        </is>
      </c>
      <c r="H135" s="8" t="inlineStr">
        <is>
          <t>BS (SRS thiếu)</t>
        </is>
      </c>
      <c r="I135" s="8" t="inlineStr">
        <is>
          <t>Thiết kế dữ liệu và API — Quên mật khẩu qua email</t>
        </is>
      </c>
      <c r="J135" s="8" t="n">
        <v>1</v>
      </c>
      <c r="K135" s="8" t="inlineStr">
        <is>
          <t>BE · Tech Lead</t>
        </is>
      </c>
      <c r="L135" s="8" t="inlineStr">
        <is>
          <t>Khách</t>
        </is>
      </c>
      <c r="M135" s="8" t="inlineStr">
        <is>
          <t>Web</t>
        </is>
      </c>
      <c r="N135" s="8" t="inlineStr"/>
      <c r="O135" s="8" t="inlineStr"/>
      <c r="P135" s="8" t="inlineStr"/>
      <c r="Q135" s="8" t="inlineStr">
        <is>
          <t>Web + API</t>
        </is>
      </c>
      <c r="R135" s="12" t="inlineStr"/>
      <c r="S135" s="12" t="inlineStr"/>
    </row>
    <row r="136">
      <c r="A136" s="8" t="inlineStr">
        <is>
          <t>T-091</t>
        </is>
      </c>
      <c r="B136" s="8" t="inlineStr">
        <is>
          <t>2 · Phát triển</t>
        </is>
      </c>
      <c r="C136" s="8" t="inlineStr">
        <is>
          <t>S3</t>
        </is>
      </c>
      <c r="D136" s="8" t="inlineStr">
        <is>
          <t>T9–T10</t>
        </is>
      </c>
      <c r="E136" s="8" t="inlineStr">
        <is>
          <t>ACC</t>
        </is>
      </c>
      <c r="F136" s="8" t="inlineStr">
        <is>
          <t>Xác thực</t>
        </is>
      </c>
      <c r="G136" s="8" t="inlineStr">
        <is>
          <t>ACC-04</t>
        </is>
      </c>
      <c r="H136" s="8" t="inlineStr">
        <is>
          <t>BS (SRS thiếu)</t>
        </is>
      </c>
      <c r="I136" s="8" t="inlineStr">
        <is>
          <t>Giao diện và kết nối API — Quên mật khẩu qua email</t>
        </is>
      </c>
      <c r="J136" s="8" t="n">
        <v>1</v>
      </c>
      <c r="K136" s="8" t="inlineStr">
        <is>
          <t>FE · Design</t>
        </is>
      </c>
      <c r="L136" s="8" t="inlineStr">
        <is>
          <t>Khách</t>
        </is>
      </c>
      <c r="M136" s="8" t="inlineStr">
        <is>
          <t>Web</t>
        </is>
      </c>
      <c r="N136" s="8" t="inlineStr">
        <is>
          <t>T-090</t>
        </is>
      </c>
      <c r="O136" s="8" t="inlineStr"/>
      <c r="P136" s="8" t="inlineStr"/>
      <c r="Q136" s="8" t="inlineStr">
        <is>
          <t>Web + API</t>
        </is>
      </c>
      <c r="R136" s="12" t="inlineStr"/>
      <c r="S136" s="12" t="inlineStr"/>
    </row>
    <row r="137">
      <c r="A137" s="8" t="inlineStr">
        <is>
          <t>T-092</t>
        </is>
      </c>
      <c r="B137" s="8" t="inlineStr">
        <is>
          <t>2 · Phát triển</t>
        </is>
      </c>
      <c r="C137" s="8" t="inlineStr">
        <is>
          <t>S3</t>
        </is>
      </c>
      <c r="D137" s="8" t="inlineStr">
        <is>
          <t>T9–T10</t>
        </is>
      </c>
      <c r="E137" s="8" t="inlineStr">
        <is>
          <t>ACC</t>
        </is>
      </c>
      <c r="F137" s="8" t="inlineStr">
        <is>
          <t>Xác thực</t>
        </is>
      </c>
      <c r="G137" s="8" t="inlineStr">
        <is>
          <t>ACC-04</t>
        </is>
      </c>
      <c r="H137" s="8" t="inlineStr">
        <is>
          <t>BS (SRS thiếu)</t>
        </is>
      </c>
      <c r="I137" s="8" t="inlineStr">
        <is>
          <t>Kiểm thử — Quên mật khẩu qua email</t>
        </is>
      </c>
      <c r="J137" s="8" t="n">
        <v>0.5</v>
      </c>
      <c r="K137" s="8" t="inlineStr">
        <is>
          <t>QC</t>
        </is>
      </c>
      <c r="L137" s="8" t="inlineStr">
        <is>
          <t>Khách</t>
        </is>
      </c>
      <c r="M137" s="8" t="inlineStr">
        <is>
          <t>Web</t>
        </is>
      </c>
      <c r="N137" s="8" t="inlineStr">
        <is>
          <t>T-091</t>
        </is>
      </c>
      <c r="O137" s="8" t="inlineStr"/>
      <c r="P137" s="8" t="inlineStr"/>
      <c r="Q137" s="8" t="inlineStr">
        <is>
          <t>Web + API</t>
        </is>
      </c>
      <c r="R137" s="12" t="inlineStr"/>
      <c r="S137" s="12" t="inlineStr"/>
    </row>
    <row r="138">
      <c r="A138" s="9" t="inlineStr"/>
      <c r="B138" s="9" t="inlineStr">
        <is>
          <t>2 · Phát triển</t>
        </is>
      </c>
      <c r="C138" s="9" t="inlineStr"/>
      <c r="D138" s="9" t="inlineStr"/>
      <c r="E138" s="9" t="inlineStr">
        <is>
          <t>ADM</t>
        </is>
      </c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  <c r="P138" s="9" t="inlineStr"/>
      <c r="Q138" s="9" t="inlineStr"/>
      <c r="R138" s="9" t="inlineStr"/>
      <c r="S138" s="9" t="inlineStr"/>
    </row>
    <row r="139">
      <c r="A139" s="11" t="inlineStr"/>
      <c r="B139" s="11" t="inlineStr">
        <is>
          <t>2 · Phát triển</t>
        </is>
      </c>
      <c r="C139" s="11" t="inlineStr"/>
      <c r="D139" s="11" t="inlineStr"/>
      <c r="E139" s="11" t="inlineStr">
        <is>
          <t>ADM</t>
        </is>
      </c>
      <c r="F139" s="11" t="inlineStr">
        <is>
          <t>Báo cáo</t>
        </is>
      </c>
      <c r="G139" s="11" t="inlineStr"/>
      <c r="H139" s="11" t="inlineStr"/>
      <c r="I139" s="11" t="inlineStr"/>
      <c r="J139" s="11" t="inlineStr"/>
      <c r="K139" s="11" t="inlineStr"/>
      <c r="L139" s="11" t="inlineStr"/>
      <c r="M139" s="11" t="inlineStr"/>
      <c r="N139" s="11" t="inlineStr"/>
      <c r="O139" s="11" t="inlineStr"/>
      <c r="P139" s="11" t="inlineStr"/>
      <c r="Q139" s="11" t="inlineStr"/>
      <c r="R139" s="11" t="inlineStr"/>
      <c r="S139" s="11" t="inlineStr"/>
    </row>
    <row r="140">
      <c r="A140" s="8" t="inlineStr">
        <is>
          <t>T-093</t>
        </is>
      </c>
      <c r="B140" s="8" t="inlineStr">
        <is>
          <t>2 · Phát triển</t>
        </is>
      </c>
      <c r="C140" s="8" t="inlineStr">
        <is>
          <t>S3</t>
        </is>
      </c>
      <c r="D140" s="8" t="inlineStr">
        <is>
          <t>T9–T10</t>
        </is>
      </c>
      <c r="E140" s="8" t="inlineStr">
        <is>
          <t>ADM</t>
        </is>
      </c>
      <c r="F140" s="8" t="inlineStr">
        <is>
          <t>Báo cáo</t>
        </is>
      </c>
      <c r="G140" s="8" t="inlineStr">
        <is>
          <t>ADM-03</t>
        </is>
      </c>
      <c r="H140" s="8" t="inlineStr">
        <is>
          <t>SRS 3.1.4.2, 3.1.4.4</t>
        </is>
      </c>
      <c r="I140" s="8" t="inlineStr">
        <is>
          <t>Thiết kế dữ liệu và API — Dashboard và thống kê: tour, đợt, booking theo trạng thái, doanh thu</t>
        </is>
      </c>
      <c r="J140" s="8" t="n">
        <v>1.5</v>
      </c>
      <c r="K140" s="8" t="inlineStr">
        <is>
          <t>BE · Tech Lead</t>
        </is>
      </c>
      <c r="L140" s="8" t="inlineStr">
        <is>
          <t>Admin · Tour Manager</t>
        </is>
      </c>
      <c r="M140" s="8" t="inlineStr">
        <is>
          <t>Web quản trị</t>
        </is>
      </c>
      <c r="N140" s="8" t="inlineStr"/>
      <c r="O140" s="8" t="inlineStr"/>
      <c r="P140" s="8" t="inlineStr"/>
      <c r="Q140" s="8" t="inlineStr">
        <is>
          <t>Web + API</t>
        </is>
      </c>
      <c r="R140" s="12" t="inlineStr"/>
      <c r="S140" s="12" t="inlineStr"/>
    </row>
    <row r="141">
      <c r="A141" s="8" t="inlineStr">
        <is>
          <t>T-094</t>
        </is>
      </c>
      <c r="B141" s="8" t="inlineStr">
        <is>
          <t>2 · Phát triển</t>
        </is>
      </c>
      <c r="C141" s="8" t="inlineStr">
        <is>
          <t>S3</t>
        </is>
      </c>
      <c r="D141" s="8" t="inlineStr">
        <is>
          <t>T9–T10</t>
        </is>
      </c>
      <c r="E141" s="8" t="inlineStr">
        <is>
          <t>ADM</t>
        </is>
      </c>
      <c r="F141" s="8" t="inlineStr">
        <is>
          <t>Báo cáo</t>
        </is>
      </c>
      <c r="G141" s="8" t="inlineStr">
        <is>
          <t>ADM-03</t>
        </is>
      </c>
      <c r="H141" s="8" t="inlineStr">
        <is>
          <t>SRS 3.1.4.2, 3.1.4.4</t>
        </is>
      </c>
      <c r="I141" s="8" t="inlineStr">
        <is>
          <t>Giao diện và kết nối API — Dashboard và thống kê: tour, đợt, booking theo trạng thái, doanh thu</t>
        </is>
      </c>
      <c r="J141" s="8" t="n">
        <v>1.5</v>
      </c>
      <c r="K141" s="8" t="inlineStr">
        <is>
          <t>FE · Design</t>
        </is>
      </c>
      <c r="L141" s="8" t="inlineStr">
        <is>
          <t>Admin · Tour Manager</t>
        </is>
      </c>
      <c r="M141" s="8" t="inlineStr">
        <is>
          <t>Web quản trị</t>
        </is>
      </c>
      <c r="N141" s="8" t="inlineStr">
        <is>
          <t>T-093</t>
        </is>
      </c>
      <c r="O141" s="8" t="inlineStr"/>
      <c r="P141" s="8" t="inlineStr"/>
      <c r="Q141" s="8" t="inlineStr">
        <is>
          <t>Web + API</t>
        </is>
      </c>
      <c r="R141" s="12" t="inlineStr"/>
      <c r="S141" s="12" t="inlineStr"/>
    </row>
    <row r="142">
      <c r="A142" s="8" t="inlineStr">
        <is>
          <t>T-095</t>
        </is>
      </c>
      <c r="B142" s="8" t="inlineStr">
        <is>
          <t>2 · Phát triển</t>
        </is>
      </c>
      <c r="C142" s="8" t="inlineStr">
        <is>
          <t>S3</t>
        </is>
      </c>
      <c r="D142" s="8" t="inlineStr">
        <is>
          <t>T9–T10</t>
        </is>
      </c>
      <c r="E142" s="8" t="inlineStr">
        <is>
          <t>ADM</t>
        </is>
      </c>
      <c r="F142" s="8" t="inlineStr">
        <is>
          <t>Báo cáo</t>
        </is>
      </c>
      <c r="G142" s="8" t="inlineStr">
        <is>
          <t>ADM-03</t>
        </is>
      </c>
      <c r="H142" s="8" t="inlineStr">
        <is>
          <t>SRS 3.1.4.2, 3.1.4.4</t>
        </is>
      </c>
      <c r="I142" s="8" t="inlineStr">
        <is>
          <t>Kiểm thử — Dashboard và thống kê: tour, đợt, booking theo trạng thái, doanh thu</t>
        </is>
      </c>
      <c r="J142" s="8" t="n">
        <v>1</v>
      </c>
      <c r="K142" s="8" t="inlineStr">
        <is>
          <t>QC</t>
        </is>
      </c>
      <c r="L142" s="8" t="inlineStr">
        <is>
          <t>Admin · Tour Manager</t>
        </is>
      </c>
      <c r="M142" s="8" t="inlineStr">
        <is>
          <t>Web quản trị</t>
        </is>
      </c>
      <c r="N142" s="8" t="inlineStr">
        <is>
          <t>T-094</t>
        </is>
      </c>
      <c r="O142" s="8" t="inlineStr"/>
      <c r="P142" s="8" t="inlineStr"/>
      <c r="Q142" s="8" t="inlineStr">
        <is>
          <t>Web + API</t>
        </is>
      </c>
      <c r="R142" s="12" t="inlineStr"/>
      <c r="S142" s="12" t="inlineStr"/>
    </row>
    <row r="143">
      <c r="A143" s="11" t="inlineStr"/>
      <c r="B143" s="11" t="inlineStr">
        <is>
          <t>2 · Phát triển</t>
        </is>
      </c>
      <c r="C143" s="11" t="inlineStr"/>
      <c r="D143" s="11" t="inlineStr"/>
      <c r="E143" s="11" t="inlineStr">
        <is>
          <t>ADM</t>
        </is>
      </c>
      <c r="F143" s="11" t="inlineStr">
        <is>
          <t>Phân quyền</t>
        </is>
      </c>
      <c r="G143" s="11" t="inlineStr"/>
      <c r="H143" s="11" t="inlineStr"/>
      <c r="I143" s="11" t="inlineStr"/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1" t="inlineStr"/>
      <c r="R143" s="11" t="inlineStr"/>
      <c r="S143" s="11" t="inlineStr"/>
    </row>
    <row r="144">
      <c r="A144" s="8" t="inlineStr">
        <is>
          <t>T-096</t>
        </is>
      </c>
      <c r="B144" s="8" t="inlineStr">
        <is>
          <t>2 · Phát triển</t>
        </is>
      </c>
      <c r="C144" s="8" t="inlineStr">
        <is>
          <t>S3</t>
        </is>
      </c>
      <c r="D144" s="8" t="inlineStr">
        <is>
          <t>T9–T10</t>
        </is>
      </c>
      <c r="E144" s="8" t="inlineStr">
        <is>
          <t>ADM</t>
        </is>
      </c>
      <c r="F144" s="8" t="inlineStr">
        <is>
          <t>Phân quyền</t>
        </is>
      </c>
      <c r="G144" s="8" t="inlineStr">
        <is>
          <t>ADM-02</t>
        </is>
      </c>
      <c r="H144" s="8" t="inlineStr">
        <is>
          <t>SRS 7.8; API 4.14</t>
        </is>
      </c>
      <c r="I144" s="8" t="inlineStr">
        <is>
          <t>Thiết kế dữ liệu và API — Cấu hình quyền hạn theo vai trò (roles, permissions)</t>
        </is>
      </c>
      <c r="J144" s="8" t="n">
        <v>1</v>
      </c>
      <c r="K144" s="8" t="inlineStr">
        <is>
          <t>BE · Tech Lead</t>
        </is>
      </c>
      <c r="L144" s="8" t="inlineStr">
        <is>
          <t>Admin</t>
        </is>
      </c>
      <c r="M144" s="8" t="inlineStr">
        <is>
          <t>Web quản trị</t>
        </is>
      </c>
      <c r="N144" s="8" t="inlineStr"/>
      <c r="O144" s="8" t="inlineStr"/>
      <c r="P144" s="8" t="inlineStr"/>
      <c r="Q144" s="8" t="inlineStr">
        <is>
          <t>Web + API</t>
        </is>
      </c>
      <c r="R144" s="12" t="inlineStr"/>
      <c r="S144" s="12" t="inlineStr"/>
    </row>
    <row r="145">
      <c r="A145" s="8" t="inlineStr">
        <is>
          <t>T-097</t>
        </is>
      </c>
      <c r="B145" s="8" t="inlineStr">
        <is>
          <t>2 · Phát triển</t>
        </is>
      </c>
      <c r="C145" s="8" t="inlineStr">
        <is>
          <t>S3</t>
        </is>
      </c>
      <c r="D145" s="8" t="inlineStr">
        <is>
          <t>T9–T10</t>
        </is>
      </c>
      <c r="E145" s="8" t="inlineStr">
        <is>
          <t>ADM</t>
        </is>
      </c>
      <c r="F145" s="8" t="inlineStr">
        <is>
          <t>Phân quyền</t>
        </is>
      </c>
      <c r="G145" s="8" t="inlineStr">
        <is>
          <t>ADM-02</t>
        </is>
      </c>
      <c r="H145" s="8" t="inlineStr">
        <is>
          <t>SRS 7.8; API 4.14</t>
        </is>
      </c>
      <c r="I145" s="8" t="inlineStr">
        <is>
          <t>Giao diện và kết nối API — Cấu hình quyền hạn theo vai trò (roles, permissions)</t>
        </is>
      </c>
      <c r="J145" s="8" t="n">
        <v>1</v>
      </c>
      <c r="K145" s="8" t="inlineStr">
        <is>
          <t>FE · Design</t>
        </is>
      </c>
      <c r="L145" s="8" t="inlineStr">
        <is>
          <t>Admin</t>
        </is>
      </c>
      <c r="M145" s="8" t="inlineStr">
        <is>
          <t>Web quản trị</t>
        </is>
      </c>
      <c r="N145" s="8" t="inlineStr">
        <is>
          <t>T-096</t>
        </is>
      </c>
      <c r="O145" s="8" t="inlineStr"/>
      <c r="P145" s="8" t="inlineStr"/>
      <c r="Q145" s="8" t="inlineStr">
        <is>
          <t>Web + API</t>
        </is>
      </c>
      <c r="R145" s="12" t="inlineStr"/>
      <c r="S145" s="12" t="inlineStr"/>
    </row>
    <row r="146">
      <c r="A146" s="8" t="inlineStr">
        <is>
          <t>T-098</t>
        </is>
      </c>
      <c r="B146" s="8" t="inlineStr">
        <is>
          <t>2 · Phát triển</t>
        </is>
      </c>
      <c r="C146" s="8" t="inlineStr">
        <is>
          <t>S3</t>
        </is>
      </c>
      <c r="D146" s="8" t="inlineStr">
        <is>
          <t>T9–T10</t>
        </is>
      </c>
      <c r="E146" s="8" t="inlineStr">
        <is>
          <t>ADM</t>
        </is>
      </c>
      <c r="F146" s="8" t="inlineStr">
        <is>
          <t>Phân quyền</t>
        </is>
      </c>
      <c r="G146" s="8" t="inlineStr">
        <is>
          <t>ADM-02</t>
        </is>
      </c>
      <c r="H146" s="8" t="inlineStr">
        <is>
          <t>SRS 7.8; API 4.14</t>
        </is>
      </c>
      <c r="I146" s="8" t="inlineStr">
        <is>
          <t>Kiểm thử — Cấu hình quyền hạn theo vai trò (roles, permissions)</t>
        </is>
      </c>
      <c r="J146" s="8" t="n">
        <v>1</v>
      </c>
      <c r="K146" s="8" t="inlineStr">
        <is>
          <t>QC</t>
        </is>
      </c>
      <c r="L146" s="8" t="inlineStr">
        <is>
          <t>Admin</t>
        </is>
      </c>
      <c r="M146" s="8" t="inlineStr">
        <is>
          <t>Web quản trị</t>
        </is>
      </c>
      <c r="N146" s="8" t="inlineStr">
        <is>
          <t>T-097</t>
        </is>
      </c>
      <c r="O146" s="8" t="inlineStr"/>
      <c r="P146" s="8" t="inlineStr"/>
      <c r="Q146" s="8" t="inlineStr">
        <is>
          <t>Web + API</t>
        </is>
      </c>
      <c r="R146" s="12" t="inlineStr"/>
      <c r="S146" s="12" t="inlineStr"/>
    </row>
    <row r="147">
      <c r="A147" s="9" t="inlineStr"/>
      <c r="B147" s="9" t="inlineStr">
        <is>
          <t>2 · Phát triển</t>
        </is>
      </c>
      <c r="C147" s="9" t="inlineStr"/>
      <c r="D147" s="9" t="inlineStr"/>
      <c r="E147" s="9" t="inlineStr">
        <is>
          <t>BK</t>
        </is>
      </c>
      <c r="F147" s="9" t="inlineStr"/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/>
      <c r="O147" s="9" t="inlineStr"/>
      <c r="P147" s="9" t="inlineStr"/>
      <c r="Q147" s="9" t="inlineStr"/>
      <c r="R147" s="9" t="inlineStr"/>
      <c r="S147" s="9" t="inlineStr"/>
    </row>
    <row r="148">
      <c r="A148" s="11" t="inlineStr"/>
      <c r="B148" s="11" t="inlineStr">
        <is>
          <t>2 · Phát triển</t>
        </is>
      </c>
      <c r="C148" s="11" t="inlineStr"/>
      <c r="D148" s="11" t="inlineStr"/>
      <c r="E148" s="11" t="inlineStr">
        <is>
          <t>BK</t>
        </is>
      </c>
      <c r="F148" s="11" t="inlineStr">
        <is>
          <t>Huỷ</t>
        </is>
      </c>
      <c r="G148" s="11" t="inlineStr"/>
      <c r="H148" s="11" t="inlineStr"/>
      <c r="I148" s="11" t="inlineStr"/>
      <c r="J148" s="11" t="inlineStr"/>
      <c r="K148" s="11" t="inlineStr"/>
      <c r="L148" s="11" t="inlineStr"/>
      <c r="M148" s="11" t="inlineStr"/>
      <c r="N148" s="11" t="inlineStr"/>
      <c r="O148" s="11" t="inlineStr"/>
      <c r="P148" s="11" t="inlineStr"/>
      <c r="Q148" s="11" t="inlineStr"/>
      <c r="R148" s="11" t="inlineStr"/>
      <c r="S148" s="11" t="inlineStr"/>
    </row>
    <row r="149">
      <c r="A149" s="8" t="inlineStr">
        <is>
          <t>T-099</t>
        </is>
      </c>
      <c r="B149" s="8" t="inlineStr">
        <is>
          <t>2 · Phát triển</t>
        </is>
      </c>
      <c r="C149" s="8" t="inlineStr">
        <is>
          <t>S3</t>
        </is>
      </c>
      <c r="D149" s="8" t="inlineStr">
        <is>
          <t>T9–T10</t>
        </is>
      </c>
      <c r="E149" s="8" t="inlineStr">
        <is>
          <t>BK</t>
        </is>
      </c>
      <c r="F149" s="8" t="inlineStr">
        <is>
          <t>Huỷ</t>
        </is>
      </c>
      <c r="G149" s="8" t="inlineStr">
        <is>
          <t>BK-05</t>
        </is>
      </c>
      <c r="H149" s="8" t="inlineStr">
        <is>
          <t>SRS 4.8, 9.6</t>
        </is>
      </c>
      <c r="I149" s="8" t="inlineStr">
        <is>
          <t>Thiết kế dữ liệu và API — Khách huỷ booking theo chính sách (mốc trước khởi hành, tỷ lệ hoàn)</t>
        </is>
      </c>
      <c r="J149" s="8" t="n">
        <v>1</v>
      </c>
      <c r="K149" s="8" t="inlineStr">
        <is>
          <t>BE · Tech Lead</t>
        </is>
      </c>
      <c r="L149" s="8" t="inlineStr">
        <is>
          <t>Khách</t>
        </is>
      </c>
      <c r="M149" s="8" t="inlineStr">
        <is>
          <t>Web + API</t>
        </is>
      </c>
      <c r="N149" s="8" t="inlineStr"/>
      <c r="O149" s="8" t="inlineStr"/>
      <c r="P149" s="8" t="inlineStr"/>
      <c r="Q149" s="8" t="inlineStr">
        <is>
          <t>Web + API</t>
        </is>
      </c>
      <c r="R149" s="12" t="inlineStr"/>
      <c r="S149" s="12" t="inlineStr"/>
    </row>
    <row r="150">
      <c r="A150" s="8" t="inlineStr">
        <is>
          <t>T-100</t>
        </is>
      </c>
      <c r="B150" s="8" t="inlineStr">
        <is>
          <t>2 · Phát triển</t>
        </is>
      </c>
      <c r="C150" s="8" t="inlineStr">
        <is>
          <t>S3</t>
        </is>
      </c>
      <c r="D150" s="8" t="inlineStr">
        <is>
          <t>T9–T10</t>
        </is>
      </c>
      <c r="E150" s="8" t="inlineStr">
        <is>
          <t>BK</t>
        </is>
      </c>
      <c r="F150" s="8" t="inlineStr">
        <is>
          <t>Huỷ</t>
        </is>
      </c>
      <c r="G150" s="8" t="inlineStr">
        <is>
          <t>BK-05</t>
        </is>
      </c>
      <c r="H150" s="8" t="inlineStr">
        <is>
          <t>SRS 4.8, 9.6</t>
        </is>
      </c>
      <c r="I150" s="8" t="inlineStr">
        <is>
          <t>Giao diện và kết nối API — Khách huỷ booking theo chính sách (mốc trước khởi hành, tỷ lệ hoàn)</t>
        </is>
      </c>
      <c r="J150" s="8" t="n">
        <v>1</v>
      </c>
      <c r="K150" s="8" t="inlineStr">
        <is>
          <t>FE · Design</t>
        </is>
      </c>
      <c r="L150" s="8" t="inlineStr">
        <is>
          <t>Khách</t>
        </is>
      </c>
      <c r="M150" s="8" t="inlineStr">
        <is>
          <t>Web + API</t>
        </is>
      </c>
      <c r="N150" s="8" t="inlineStr">
        <is>
          <t>T-099</t>
        </is>
      </c>
      <c r="O150" s="8" t="inlineStr"/>
      <c r="P150" s="8" t="inlineStr"/>
      <c r="Q150" s="8" t="inlineStr">
        <is>
          <t>Web + API</t>
        </is>
      </c>
      <c r="R150" s="12" t="inlineStr"/>
      <c r="S150" s="12" t="inlineStr"/>
    </row>
    <row r="151">
      <c r="A151" s="8" t="inlineStr">
        <is>
          <t>T-101</t>
        </is>
      </c>
      <c r="B151" s="8" t="inlineStr">
        <is>
          <t>2 · Phát triển</t>
        </is>
      </c>
      <c r="C151" s="8" t="inlineStr">
        <is>
          <t>S3</t>
        </is>
      </c>
      <c r="D151" s="8" t="inlineStr">
        <is>
          <t>T9–T10</t>
        </is>
      </c>
      <c r="E151" s="8" t="inlineStr">
        <is>
          <t>BK</t>
        </is>
      </c>
      <c r="F151" s="8" t="inlineStr">
        <is>
          <t>Huỷ</t>
        </is>
      </c>
      <c r="G151" s="8" t="inlineStr">
        <is>
          <t>BK-05</t>
        </is>
      </c>
      <c r="H151" s="8" t="inlineStr">
        <is>
          <t>SRS 4.8, 9.6</t>
        </is>
      </c>
      <c r="I151" s="8" t="inlineStr">
        <is>
          <t>Kiểm thử — Khách huỷ booking theo chính sách (mốc trước khởi hành, tỷ lệ hoàn)</t>
        </is>
      </c>
      <c r="J151" s="8" t="n">
        <v>1</v>
      </c>
      <c r="K151" s="8" t="inlineStr">
        <is>
          <t>QC</t>
        </is>
      </c>
      <c r="L151" s="8" t="inlineStr">
        <is>
          <t>Khách</t>
        </is>
      </c>
      <c r="M151" s="8" t="inlineStr">
        <is>
          <t>Web + API</t>
        </is>
      </c>
      <c r="N151" s="8" t="inlineStr">
        <is>
          <t>T-100</t>
        </is>
      </c>
      <c r="O151" s="8" t="inlineStr"/>
      <c r="P151" s="8" t="inlineStr"/>
      <c r="Q151" s="8" t="inlineStr">
        <is>
          <t>Web + API</t>
        </is>
      </c>
      <c r="R151" s="12" t="inlineStr"/>
      <c r="S151" s="12" t="inlineStr"/>
    </row>
    <row r="152">
      <c r="A152" s="9" t="inlineStr"/>
      <c r="B152" s="9" t="inlineStr">
        <is>
          <t>2 · Phát triển</t>
        </is>
      </c>
      <c r="C152" s="9" t="inlineStr"/>
      <c r="D152" s="9" t="inlineStr"/>
      <c r="E152" s="9" t="inlineStr">
        <is>
          <t>DEP</t>
        </is>
      </c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  <c r="P152" s="9" t="inlineStr"/>
      <c r="Q152" s="9" t="inlineStr"/>
      <c r="R152" s="9" t="inlineStr"/>
      <c r="S152" s="9" t="inlineStr"/>
    </row>
    <row r="153">
      <c r="A153" s="11" t="inlineStr"/>
      <c r="B153" s="11" t="inlineStr">
        <is>
          <t>2 · Phát triển</t>
        </is>
      </c>
      <c r="C153" s="11" t="inlineStr"/>
      <c r="D153" s="11" t="inlineStr"/>
      <c r="E153" s="11" t="inlineStr">
        <is>
          <t>DEP</t>
        </is>
      </c>
      <c r="F153" s="11" t="inlineStr">
        <is>
          <t>Lịch khởi hành</t>
        </is>
      </c>
      <c r="G153" s="11" t="inlineStr"/>
      <c r="H153" s="11" t="inlineStr"/>
      <c r="I153" s="11" t="inlineStr"/>
      <c r="J153" s="11" t="inlineStr"/>
      <c r="K153" s="11" t="inlineStr"/>
      <c r="L153" s="11" t="inlineStr"/>
      <c r="M153" s="11" t="inlineStr"/>
      <c r="N153" s="11" t="inlineStr"/>
      <c r="O153" s="11" t="inlineStr"/>
      <c r="P153" s="11" t="inlineStr"/>
      <c r="Q153" s="11" t="inlineStr"/>
      <c r="R153" s="11" t="inlineStr"/>
      <c r="S153" s="11" t="inlineStr"/>
    </row>
    <row r="154">
      <c r="A154" s="8" t="inlineStr">
        <is>
          <t>T-102</t>
        </is>
      </c>
      <c r="B154" s="8" t="inlineStr">
        <is>
          <t>2 · Phát triển</t>
        </is>
      </c>
      <c r="C154" s="8" t="inlineStr">
        <is>
          <t>S3</t>
        </is>
      </c>
      <c r="D154" s="8" t="inlineStr">
        <is>
          <t>T9–T10</t>
        </is>
      </c>
      <c r="E154" s="8" t="inlineStr">
        <is>
          <t>DEP</t>
        </is>
      </c>
      <c r="F154" s="8" t="inlineStr">
        <is>
          <t>Lịch khởi hành</t>
        </is>
      </c>
      <c r="G154" s="8" t="inlineStr">
        <is>
          <t>DEP-04</t>
        </is>
      </c>
      <c r="H154" s="8" t="inlineStr">
        <is>
          <t>BS (SRS thiếu luồng)</t>
        </is>
      </c>
      <c r="I154" s="8" t="inlineStr">
        <is>
          <t>Thiết kế dữ liệu và API — Huỷ đợt khởi hành: huỷ hàng loạt booking, hoàn tiền và thông báo</t>
        </is>
      </c>
      <c r="J154" s="8" t="n">
        <v>1</v>
      </c>
      <c r="K154" s="8" t="inlineStr">
        <is>
          <t>BE · Tech Lead</t>
        </is>
      </c>
      <c r="L154" s="8" t="inlineStr">
        <is>
          <t>Tour Manager</t>
        </is>
      </c>
      <c r="M154" s="8" t="inlineStr">
        <is>
          <t>API</t>
        </is>
      </c>
      <c r="N154" s="8" t="inlineStr"/>
      <c r="O154" s="8" t="inlineStr"/>
      <c r="P154" s="8" t="inlineStr"/>
      <c r="Q154" s="8" t="inlineStr">
        <is>
          <t>Web + API</t>
        </is>
      </c>
      <c r="R154" s="12" t="inlineStr"/>
      <c r="S154" s="12" t="inlineStr"/>
    </row>
    <row r="155">
      <c r="A155" s="8" t="inlineStr">
        <is>
          <t>T-103</t>
        </is>
      </c>
      <c r="B155" s="8" t="inlineStr">
        <is>
          <t>2 · Phát triển</t>
        </is>
      </c>
      <c r="C155" s="8" t="inlineStr">
        <is>
          <t>S3</t>
        </is>
      </c>
      <c r="D155" s="8" t="inlineStr">
        <is>
          <t>T9–T10</t>
        </is>
      </c>
      <c r="E155" s="8" t="inlineStr">
        <is>
          <t>DEP</t>
        </is>
      </c>
      <c r="F155" s="8" t="inlineStr">
        <is>
          <t>Lịch khởi hành</t>
        </is>
      </c>
      <c r="G155" s="8" t="inlineStr">
        <is>
          <t>DEP-04</t>
        </is>
      </c>
      <c r="H155" s="8" t="inlineStr">
        <is>
          <t>BS (SRS thiếu luồng)</t>
        </is>
      </c>
      <c r="I155" s="8" t="inlineStr">
        <is>
          <t>Cài đặt quy tắc nghiệp vụ — Huỷ đợt khởi hành: huỷ hàng loạt booking, hoàn tiền và thông báo</t>
        </is>
      </c>
      <c r="J155" s="8" t="n">
        <v>1</v>
      </c>
      <c r="K155" s="8" t="inlineStr">
        <is>
          <t>BE</t>
        </is>
      </c>
      <c r="L155" s="8" t="inlineStr">
        <is>
          <t>Tour Manager</t>
        </is>
      </c>
      <c r="M155" s="8" t="inlineStr">
        <is>
          <t>API</t>
        </is>
      </c>
      <c r="N155" s="8" t="inlineStr">
        <is>
          <t>T-102</t>
        </is>
      </c>
      <c r="O155" s="8" t="inlineStr"/>
      <c r="P155" s="8" t="inlineStr"/>
      <c r="Q155" s="8" t="inlineStr">
        <is>
          <t>Web + API</t>
        </is>
      </c>
      <c r="R155" s="12" t="inlineStr"/>
      <c r="S155" s="12" t="inlineStr"/>
    </row>
    <row r="156">
      <c r="A156" s="8" t="inlineStr">
        <is>
          <t>T-104</t>
        </is>
      </c>
      <c r="B156" s="8" t="inlineStr">
        <is>
          <t>2 · Phát triển</t>
        </is>
      </c>
      <c r="C156" s="8" t="inlineStr">
        <is>
          <t>S3</t>
        </is>
      </c>
      <c r="D156" s="8" t="inlineStr">
        <is>
          <t>T9–T10</t>
        </is>
      </c>
      <c r="E156" s="8" t="inlineStr">
        <is>
          <t>DEP</t>
        </is>
      </c>
      <c r="F156" s="8" t="inlineStr">
        <is>
          <t>Lịch khởi hành</t>
        </is>
      </c>
      <c r="G156" s="8" t="inlineStr">
        <is>
          <t>DEP-04</t>
        </is>
      </c>
      <c r="H156" s="8" t="inlineStr">
        <is>
          <t>BS (SRS thiếu luồng)</t>
        </is>
      </c>
      <c r="I156" s="8" t="inlineStr">
        <is>
          <t>Viết test case và kiểm thử — Huỷ đợt khởi hành: huỷ hàng loạt booking, hoàn tiền và thông báo</t>
        </is>
      </c>
      <c r="J156" s="8" t="n">
        <v>1</v>
      </c>
      <c r="K156" s="8" t="inlineStr">
        <is>
          <t>QC</t>
        </is>
      </c>
      <c r="L156" s="8" t="inlineStr">
        <is>
          <t>Tour Manager</t>
        </is>
      </c>
      <c r="M156" s="8" t="inlineStr">
        <is>
          <t>API</t>
        </is>
      </c>
      <c r="N156" s="8" t="inlineStr">
        <is>
          <t>T-103</t>
        </is>
      </c>
      <c r="O156" s="8" t="inlineStr"/>
      <c r="P156" s="8" t="inlineStr"/>
      <c r="Q156" s="8" t="inlineStr">
        <is>
          <t>Web + API</t>
        </is>
      </c>
      <c r="R156" s="12" t="inlineStr"/>
      <c r="S156" s="12" t="inlineStr"/>
    </row>
    <row r="157">
      <c r="A157" s="9" t="inlineStr"/>
      <c r="B157" s="9" t="inlineStr">
        <is>
          <t>2 · Phát triển</t>
        </is>
      </c>
      <c r="C157" s="9" t="inlineStr"/>
      <c r="D157" s="9" t="inlineStr"/>
      <c r="E157" s="9" t="inlineStr">
        <is>
          <t>NTF</t>
        </is>
      </c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  <c r="P157" s="9" t="inlineStr"/>
      <c r="Q157" s="9" t="inlineStr"/>
      <c r="R157" s="9" t="inlineStr"/>
      <c r="S157" s="9" t="inlineStr"/>
    </row>
    <row r="158">
      <c r="A158" s="11" t="inlineStr"/>
      <c r="B158" s="11" t="inlineStr">
        <is>
          <t>2 · Phát triển</t>
        </is>
      </c>
      <c r="C158" s="11" t="inlineStr"/>
      <c r="D158" s="11" t="inlineStr"/>
      <c r="E158" s="11" t="inlineStr">
        <is>
          <t>NTF</t>
        </is>
      </c>
      <c r="F158" s="11" t="inlineStr">
        <is>
          <t>Thông báo</t>
        </is>
      </c>
      <c r="G158" s="11" t="inlineStr"/>
      <c r="H158" s="11" t="inlineStr"/>
      <c r="I158" s="11" t="inlineStr"/>
      <c r="J158" s="11" t="inlineStr"/>
      <c r="K158" s="11" t="inlineStr"/>
      <c r="L158" s="11" t="inlineStr"/>
      <c r="M158" s="11" t="inlineStr"/>
      <c r="N158" s="11" t="inlineStr"/>
      <c r="O158" s="11" t="inlineStr"/>
      <c r="P158" s="11" t="inlineStr"/>
      <c r="Q158" s="11" t="inlineStr"/>
      <c r="R158" s="11" t="inlineStr"/>
      <c r="S158" s="11" t="inlineStr"/>
    </row>
    <row r="159">
      <c r="A159" s="8" t="inlineStr">
        <is>
          <t>T-105</t>
        </is>
      </c>
      <c r="B159" s="8" t="inlineStr">
        <is>
          <t>2 · Phát triển</t>
        </is>
      </c>
      <c r="C159" s="8" t="inlineStr">
        <is>
          <t>S3</t>
        </is>
      </c>
      <c r="D159" s="8" t="inlineStr">
        <is>
          <t>T9–T10</t>
        </is>
      </c>
      <c r="E159" s="8" t="inlineStr">
        <is>
          <t>NTF</t>
        </is>
      </c>
      <c r="F159" s="8" t="inlineStr">
        <is>
          <t>Thông báo</t>
        </is>
      </c>
      <c r="G159" s="8" t="inlineStr">
        <is>
          <t>NTF-01</t>
        </is>
      </c>
      <c r="H159" s="8" t="inlineStr">
        <is>
          <t>SRS 9.9; API 4.6; DB 4.15</t>
        </is>
      </c>
      <c r="I159" s="8" t="inlineStr">
        <is>
          <t>Thiết kế dữ liệu và API — Thông báo trong ứng dụng theo sự kiện booking, thanh toán, lịch</t>
        </is>
      </c>
      <c r="J159" s="8" t="n">
        <v>1</v>
      </c>
      <c r="K159" s="8" t="inlineStr">
        <is>
          <t>BE · Tech Lead</t>
        </is>
      </c>
      <c r="L159" s="8" t="inlineStr">
        <is>
          <t>Khách</t>
        </is>
      </c>
      <c r="M159" s="8" t="inlineStr">
        <is>
          <t>Web + API</t>
        </is>
      </c>
      <c r="N159" s="8" t="inlineStr"/>
      <c r="O159" s="8" t="inlineStr"/>
      <c r="P159" s="8" t="inlineStr"/>
      <c r="Q159" s="8" t="inlineStr">
        <is>
          <t>Web + API</t>
        </is>
      </c>
      <c r="R159" s="12" t="inlineStr"/>
      <c r="S159" s="12" t="inlineStr"/>
    </row>
    <row r="160">
      <c r="A160" s="8" t="inlineStr">
        <is>
          <t>T-106</t>
        </is>
      </c>
      <c r="B160" s="8" t="inlineStr">
        <is>
          <t>2 · Phát triển</t>
        </is>
      </c>
      <c r="C160" s="8" t="inlineStr">
        <is>
          <t>S3</t>
        </is>
      </c>
      <c r="D160" s="8" t="inlineStr">
        <is>
          <t>T9–T10</t>
        </is>
      </c>
      <c r="E160" s="8" t="inlineStr">
        <is>
          <t>NTF</t>
        </is>
      </c>
      <c r="F160" s="8" t="inlineStr">
        <is>
          <t>Thông báo</t>
        </is>
      </c>
      <c r="G160" s="8" t="inlineStr">
        <is>
          <t>NTF-01</t>
        </is>
      </c>
      <c r="H160" s="8" t="inlineStr">
        <is>
          <t>SRS 9.9; API 4.6; DB 4.15</t>
        </is>
      </c>
      <c r="I160" s="8" t="inlineStr">
        <is>
          <t>Giao diện và kết nối API — Thông báo trong ứng dụng theo sự kiện booking, thanh toán, lịch</t>
        </is>
      </c>
      <c r="J160" s="8" t="n">
        <v>1</v>
      </c>
      <c r="K160" s="8" t="inlineStr">
        <is>
          <t>FE · Design</t>
        </is>
      </c>
      <c r="L160" s="8" t="inlineStr">
        <is>
          <t>Khách</t>
        </is>
      </c>
      <c r="M160" s="8" t="inlineStr">
        <is>
          <t>Web + API</t>
        </is>
      </c>
      <c r="N160" s="8" t="inlineStr">
        <is>
          <t>T-105</t>
        </is>
      </c>
      <c r="O160" s="8" t="inlineStr"/>
      <c r="P160" s="8" t="inlineStr"/>
      <c r="Q160" s="8" t="inlineStr">
        <is>
          <t>Web + API</t>
        </is>
      </c>
      <c r="R160" s="12" t="inlineStr"/>
      <c r="S160" s="12" t="inlineStr"/>
    </row>
    <row r="161">
      <c r="A161" s="8" t="inlineStr">
        <is>
          <t>T-107</t>
        </is>
      </c>
      <c r="B161" s="8" t="inlineStr">
        <is>
          <t>2 · Phát triển</t>
        </is>
      </c>
      <c r="C161" s="8" t="inlineStr">
        <is>
          <t>S3</t>
        </is>
      </c>
      <c r="D161" s="8" t="inlineStr">
        <is>
          <t>T9–T10</t>
        </is>
      </c>
      <c r="E161" s="8" t="inlineStr">
        <is>
          <t>NTF</t>
        </is>
      </c>
      <c r="F161" s="8" t="inlineStr">
        <is>
          <t>Thông báo</t>
        </is>
      </c>
      <c r="G161" s="8" t="inlineStr">
        <is>
          <t>NTF-01</t>
        </is>
      </c>
      <c r="H161" s="8" t="inlineStr">
        <is>
          <t>SRS 9.9; API 4.6; DB 4.15</t>
        </is>
      </c>
      <c r="I161" s="8" t="inlineStr">
        <is>
          <t>Kiểm thử — Thông báo trong ứng dụng theo sự kiện booking, thanh toán, lịch</t>
        </is>
      </c>
      <c r="J161" s="8" t="n">
        <v>1</v>
      </c>
      <c r="K161" s="8" t="inlineStr">
        <is>
          <t>QC</t>
        </is>
      </c>
      <c r="L161" s="8" t="inlineStr">
        <is>
          <t>Khách</t>
        </is>
      </c>
      <c r="M161" s="8" t="inlineStr">
        <is>
          <t>Web + API</t>
        </is>
      </c>
      <c r="N161" s="8" t="inlineStr">
        <is>
          <t>T-106</t>
        </is>
      </c>
      <c r="O161" s="8" t="inlineStr"/>
      <c r="P161" s="8" t="inlineStr"/>
      <c r="Q161" s="8" t="inlineStr">
        <is>
          <t>Web + API</t>
        </is>
      </c>
      <c r="R161" s="12" t="inlineStr"/>
      <c r="S161" s="12" t="inlineStr"/>
    </row>
    <row r="162">
      <c r="A162" s="8" t="inlineStr">
        <is>
          <t>T-108</t>
        </is>
      </c>
      <c r="B162" s="8" t="inlineStr">
        <is>
          <t>2 · Phát triển</t>
        </is>
      </c>
      <c r="C162" s="8" t="inlineStr">
        <is>
          <t>S3</t>
        </is>
      </c>
      <c r="D162" s="8" t="inlineStr">
        <is>
          <t>T9–T10</t>
        </is>
      </c>
      <c r="E162" s="8" t="inlineStr">
        <is>
          <t>NTF</t>
        </is>
      </c>
      <c r="F162" s="8" t="inlineStr">
        <is>
          <t>Thông báo</t>
        </is>
      </c>
      <c r="G162" s="8" t="inlineStr">
        <is>
          <t>NTF-02</t>
        </is>
      </c>
      <c r="H162" s="8" t="inlineStr">
        <is>
          <t>BS (SRS không nêu kênh)</t>
        </is>
      </c>
      <c r="I162" s="8" t="inlineStr">
        <is>
          <t>Lớp trung gian (adapter) — Email giao dịch: xác nhận đặt, thanh toán, huỷ</t>
        </is>
      </c>
      <c r="J162" s="8" t="n">
        <v>1</v>
      </c>
      <c r="K162" s="8" t="inlineStr">
        <is>
          <t>BE · Tech Lead</t>
        </is>
      </c>
      <c r="L162" s="8" t="inlineStr">
        <is>
          <t>Hệ thống</t>
        </is>
      </c>
      <c r="M162" s="8" t="inlineStr">
        <is>
          <t>API</t>
        </is>
      </c>
      <c r="N162" s="8" t="inlineStr"/>
      <c r="O162" s="8" t="inlineStr"/>
      <c r="P162" s="8" t="inlineStr"/>
      <c r="Q162" s="8" t="inlineStr">
        <is>
          <t>Web + API</t>
        </is>
      </c>
      <c r="R162" s="12" t="inlineStr"/>
      <c r="S162" s="12" t="inlineStr"/>
    </row>
    <row r="163">
      <c r="A163" s="8" t="inlineStr">
        <is>
          <t>T-109</t>
        </is>
      </c>
      <c r="B163" s="8" t="inlineStr">
        <is>
          <t>2 · Phát triển</t>
        </is>
      </c>
      <c r="C163" s="8" t="inlineStr">
        <is>
          <t>S3</t>
        </is>
      </c>
      <c r="D163" s="8" t="inlineStr">
        <is>
          <t>T9–T10</t>
        </is>
      </c>
      <c r="E163" s="8" t="inlineStr">
        <is>
          <t>NTF</t>
        </is>
      </c>
      <c r="F163" s="8" t="inlineStr">
        <is>
          <t>Thông báo</t>
        </is>
      </c>
      <c r="G163" s="8" t="inlineStr">
        <is>
          <t>NTF-02</t>
        </is>
      </c>
      <c r="H163" s="8" t="inlineStr">
        <is>
          <t>BS (SRS không nêu kênh)</t>
        </is>
      </c>
      <c r="I163" s="8" t="inlineStr">
        <is>
          <t>Webhook, đối soát và xử lý lỗi — Email giao dịch: xác nhận đặt, thanh toán, huỷ</t>
        </is>
      </c>
      <c r="J163" s="8" t="n">
        <v>1</v>
      </c>
      <c r="K163" s="8" t="inlineStr">
        <is>
          <t>BE</t>
        </is>
      </c>
      <c r="L163" s="8" t="inlineStr">
        <is>
          <t>Hệ thống</t>
        </is>
      </c>
      <c r="M163" s="8" t="inlineStr">
        <is>
          <t>API</t>
        </is>
      </c>
      <c r="N163" s="8" t="inlineStr">
        <is>
          <t>T-108</t>
        </is>
      </c>
      <c r="O163" s="8" t="inlineStr"/>
      <c r="P163" s="8" t="inlineStr"/>
      <c r="Q163" s="8" t="inlineStr">
        <is>
          <t>Web + API</t>
        </is>
      </c>
      <c r="R163" s="12" t="inlineStr"/>
      <c r="S163" s="12" t="inlineStr"/>
    </row>
    <row r="164">
      <c r="A164" s="8" t="inlineStr">
        <is>
          <t>T-110</t>
        </is>
      </c>
      <c r="B164" s="8" t="inlineStr">
        <is>
          <t>2 · Phát triển</t>
        </is>
      </c>
      <c r="C164" s="8" t="inlineStr">
        <is>
          <t>S3</t>
        </is>
      </c>
      <c r="D164" s="8" t="inlineStr">
        <is>
          <t>T9–T10</t>
        </is>
      </c>
      <c r="E164" s="8" t="inlineStr">
        <is>
          <t>NTF</t>
        </is>
      </c>
      <c r="F164" s="8" t="inlineStr">
        <is>
          <t>Thông báo</t>
        </is>
      </c>
      <c r="G164" s="8" t="inlineStr">
        <is>
          <t>NTF-02</t>
        </is>
      </c>
      <c r="H164" s="8" t="inlineStr">
        <is>
          <t>BS (SRS không nêu kênh)</t>
        </is>
      </c>
      <c r="I164" s="8" t="inlineStr">
        <is>
          <t>Kiểm thử trên sandbox — Email giao dịch: xác nhận đặt, thanh toán, huỷ</t>
        </is>
      </c>
      <c r="J164" s="8" t="n">
        <v>1</v>
      </c>
      <c r="K164" s="8" t="inlineStr">
        <is>
          <t>QC</t>
        </is>
      </c>
      <c r="L164" s="8" t="inlineStr">
        <is>
          <t>Hệ thống</t>
        </is>
      </c>
      <c r="M164" s="8" t="inlineStr">
        <is>
          <t>API</t>
        </is>
      </c>
      <c r="N164" s="8" t="inlineStr">
        <is>
          <t>T-109</t>
        </is>
      </c>
      <c r="O164" s="8" t="inlineStr"/>
      <c r="P164" s="8" t="inlineStr"/>
      <c r="Q164" s="8" t="inlineStr">
        <is>
          <t>Web + API</t>
        </is>
      </c>
      <c r="R164" s="12" t="inlineStr"/>
      <c r="S164" s="12" t="inlineStr"/>
    </row>
    <row r="165">
      <c r="A165" s="9" t="inlineStr"/>
      <c r="B165" s="9" t="inlineStr">
        <is>
          <t>2 · Phát triển</t>
        </is>
      </c>
      <c r="C165" s="9" t="inlineStr"/>
      <c r="D165" s="9" t="inlineStr"/>
      <c r="E165" s="9" t="inlineStr">
        <is>
          <t>NỀN</t>
        </is>
      </c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  <c r="P165" s="9" t="inlineStr"/>
      <c r="Q165" s="9" t="inlineStr"/>
      <c r="R165" s="9" t="inlineStr"/>
      <c r="S165" s="9" t="inlineStr"/>
    </row>
    <row r="166">
      <c r="A166" s="11" t="inlineStr"/>
      <c r="B166" s="11" t="inlineStr">
        <is>
          <t>2 · Phát triển</t>
        </is>
      </c>
      <c r="C166" s="11" t="inlineStr"/>
      <c r="D166" s="11" t="inlineStr"/>
      <c r="E166" s="11" t="inlineStr">
        <is>
          <t>NỀN</t>
        </is>
      </c>
      <c r="F166" s="11" t="inlineStr">
        <is>
          <t>Vận hành</t>
        </is>
      </c>
      <c r="G166" s="11" t="inlineStr"/>
      <c r="H166" s="11" t="inlineStr"/>
      <c r="I166" s="11" t="inlineStr"/>
      <c r="J166" s="11" t="inlineStr"/>
      <c r="K166" s="11" t="inlineStr"/>
      <c r="L166" s="11" t="inlineStr"/>
      <c r="M166" s="11" t="inlineStr"/>
      <c r="N166" s="11" t="inlineStr"/>
      <c r="O166" s="11" t="inlineStr"/>
      <c r="P166" s="11" t="inlineStr"/>
      <c r="Q166" s="11" t="inlineStr"/>
      <c r="R166" s="11" t="inlineStr"/>
      <c r="S166" s="11" t="inlineStr"/>
    </row>
    <row r="167">
      <c r="A167" s="8" t="inlineStr">
        <is>
          <t>T-111</t>
        </is>
      </c>
      <c r="B167" s="8" t="inlineStr">
        <is>
          <t>2 · Phát triển</t>
        </is>
      </c>
      <c r="C167" s="8" t="inlineStr">
        <is>
          <t>S3</t>
        </is>
      </c>
      <c r="D167" s="8" t="inlineStr">
        <is>
          <t>T9–T10</t>
        </is>
      </c>
      <c r="E167" s="8" t="inlineStr">
        <is>
          <t>NỀN</t>
        </is>
      </c>
      <c r="F167" s="8" t="inlineStr">
        <is>
          <t>Vận hành</t>
        </is>
      </c>
      <c r="G167" s="8" t="inlineStr">
        <is>
          <t>SYS-03</t>
        </is>
      </c>
      <c r="H167" s="8" t="inlineStr">
        <is>
          <t>SRS 9.10, DB 4.16</t>
        </is>
      </c>
      <c r="I167" s="8" t="inlineStr">
        <is>
          <t>Thiết kế dữ liệu và API — Nhật ký kiểm toán (audit log) và nhật ký bảo mật</t>
        </is>
      </c>
      <c r="J167" s="8" t="n">
        <v>1</v>
      </c>
      <c r="K167" s="8" t="inlineStr">
        <is>
          <t>BE · Tech Lead</t>
        </is>
      </c>
      <c r="L167" s="8" t="inlineStr">
        <is>
          <t>Admin</t>
        </is>
      </c>
      <c r="M167" s="8" t="inlineStr">
        <is>
          <t>API</t>
        </is>
      </c>
      <c r="N167" s="8" t="inlineStr"/>
      <c r="O167" s="8" t="inlineStr"/>
      <c r="P167" s="8" t="inlineStr"/>
      <c r="Q167" s="8" t="inlineStr">
        <is>
          <t>Web + API</t>
        </is>
      </c>
      <c r="R167" s="12" t="inlineStr"/>
      <c r="S167" s="12" t="inlineStr"/>
    </row>
    <row r="168">
      <c r="A168" s="8" t="inlineStr">
        <is>
          <t>T-112</t>
        </is>
      </c>
      <c r="B168" s="8" t="inlineStr">
        <is>
          <t>2 · Phát triển</t>
        </is>
      </c>
      <c r="C168" s="8" t="inlineStr">
        <is>
          <t>S3</t>
        </is>
      </c>
      <c r="D168" s="8" t="inlineStr">
        <is>
          <t>T9–T10</t>
        </is>
      </c>
      <c r="E168" s="8" t="inlineStr">
        <is>
          <t>NỀN</t>
        </is>
      </c>
      <c r="F168" s="8" t="inlineStr">
        <is>
          <t>Vận hành</t>
        </is>
      </c>
      <c r="G168" s="8" t="inlineStr">
        <is>
          <t>SYS-03</t>
        </is>
      </c>
      <c r="H168" s="8" t="inlineStr">
        <is>
          <t>SRS 9.10, DB 4.16</t>
        </is>
      </c>
      <c r="I168" s="8" t="inlineStr">
        <is>
          <t>Cài đặt quy tắc nghiệp vụ — Nhật ký kiểm toán (audit log) và nhật ký bảo mật</t>
        </is>
      </c>
      <c r="J168" s="8" t="n">
        <v>1</v>
      </c>
      <c r="K168" s="8" t="inlineStr">
        <is>
          <t>BE</t>
        </is>
      </c>
      <c r="L168" s="8" t="inlineStr">
        <is>
          <t>Admin</t>
        </is>
      </c>
      <c r="M168" s="8" t="inlineStr">
        <is>
          <t>API</t>
        </is>
      </c>
      <c r="N168" s="8" t="inlineStr">
        <is>
          <t>T-111</t>
        </is>
      </c>
      <c r="O168" s="8" t="inlineStr"/>
      <c r="P168" s="8" t="inlineStr"/>
      <c r="Q168" s="8" t="inlineStr">
        <is>
          <t>Web + API</t>
        </is>
      </c>
      <c r="R168" s="12" t="inlineStr"/>
      <c r="S168" s="12" t="inlineStr"/>
    </row>
    <row r="169">
      <c r="A169" s="8" t="inlineStr">
        <is>
          <t>T-113</t>
        </is>
      </c>
      <c r="B169" s="8" t="inlineStr">
        <is>
          <t>2 · Phát triển</t>
        </is>
      </c>
      <c r="C169" s="8" t="inlineStr">
        <is>
          <t>S3</t>
        </is>
      </c>
      <c r="D169" s="8" t="inlineStr">
        <is>
          <t>T9–T10</t>
        </is>
      </c>
      <c r="E169" s="8" t="inlineStr">
        <is>
          <t>NỀN</t>
        </is>
      </c>
      <c r="F169" s="8" t="inlineStr">
        <is>
          <t>Vận hành</t>
        </is>
      </c>
      <c r="G169" s="8" t="inlineStr">
        <is>
          <t>SYS-03</t>
        </is>
      </c>
      <c r="H169" s="8" t="inlineStr">
        <is>
          <t>SRS 9.10, DB 4.16</t>
        </is>
      </c>
      <c r="I169" s="8" t="inlineStr">
        <is>
          <t>Viết test case và kiểm thử — Nhật ký kiểm toán (audit log) và nhật ký bảo mật</t>
        </is>
      </c>
      <c r="J169" s="8" t="n">
        <v>1</v>
      </c>
      <c r="K169" s="8" t="inlineStr">
        <is>
          <t>QC</t>
        </is>
      </c>
      <c r="L169" s="8" t="inlineStr">
        <is>
          <t>Admin</t>
        </is>
      </c>
      <c r="M169" s="8" t="inlineStr">
        <is>
          <t>API</t>
        </is>
      </c>
      <c r="N169" s="8" t="inlineStr">
        <is>
          <t>T-112</t>
        </is>
      </c>
      <c r="O169" s="8" t="inlineStr"/>
      <c r="P169" s="8" t="inlineStr"/>
      <c r="Q169" s="8" t="inlineStr">
        <is>
          <t>Web + API</t>
        </is>
      </c>
      <c r="R169" s="12" t="inlineStr"/>
      <c r="S169" s="12" t="inlineStr"/>
    </row>
    <row r="170">
      <c r="A170" s="9" t="inlineStr"/>
      <c r="B170" s="9" t="inlineStr">
        <is>
          <t>2 · Phát triển</t>
        </is>
      </c>
      <c r="C170" s="9" t="inlineStr"/>
      <c r="D170" s="9" t="inlineStr"/>
      <c r="E170" s="9" t="inlineStr">
        <is>
          <t>PAY</t>
        </is>
      </c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  <c r="R170" s="9" t="inlineStr"/>
      <c r="S170" s="9" t="inlineStr"/>
    </row>
    <row r="171">
      <c r="A171" s="11" t="inlineStr"/>
      <c r="B171" s="11" t="inlineStr">
        <is>
          <t>2 · Phát triển</t>
        </is>
      </c>
      <c r="C171" s="11" t="inlineStr"/>
      <c r="D171" s="11" t="inlineStr"/>
      <c r="E171" s="11" t="inlineStr">
        <is>
          <t>PAY</t>
        </is>
      </c>
      <c r="F171" s="11" t="inlineStr">
        <is>
          <t>Hoá đơn</t>
        </is>
      </c>
      <c r="G171" s="11" t="inlineStr"/>
      <c r="H171" s="11" t="inlineStr"/>
      <c r="I171" s="11" t="inlineStr"/>
      <c r="J171" s="11" t="inlineStr"/>
      <c r="K171" s="11" t="inlineStr"/>
      <c r="L171" s="11" t="inlineStr"/>
      <c r="M171" s="11" t="inlineStr"/>
      <c r="N171" s="11" t="inlineStr"/>
      <c r="O171" s="11" t="inlineStr"/>
      <c r="P171" s="11" t="inlineStr"/>
      <c r="Q171" s="11" t="inlineStr"/>
      <c r="R171" s="11" t="inlineStr"/>
      <c r="S171" s="11" t="inlineStr"/>
    </row>
    <row r="172">
      <c r="A172" s="8" t="inlineStr">
        <is>
          <t>T-114</t>
        </is>
      </c>
      <c r="B172" s="8" t="inlineStr">
        <is>
          <t>2 · Phát triển</t>
        </is>
      </c>
      <c r="C172" s="8" t="inlineStr">
        <is>
          <t>S3</t>
        </is>
      </c>
      <c r="D172" s="8" t="inlineStr">
        <is>
          <t>T9–T10</t>
        </is>
      </c>
      <c r="E172" s="8" t="inlineStr">
        <is>
          <t>PAY</t>
        </is>
      </c>
      <c r="F172" s="8" t="inlineStr">
        <is>
          <t>Hoá đơn</t>
        </is>
      </c>
      <c r="G172" s="8" t="inlineStr">
        <is>
          <t>PAY-04</t>
        </is>
      </c>
      <c r="H172" s="8" t="inlineStr">
        <is>
          <t>API 4.4; DB 4.13</t>
        </is>
      </c>
      <c r="I172" s="8" t="inlineStr">
        <is>
          <t>Thiết kế dữ liệu và API — Hoá đơn sinh khi thanh toán thành công; khách và admin xem</t>
        </is>
      </c>
      <c r="J172" s="8" t="n">
        <v>1</v>
      </c>
      <c r="K172" s="8" t="inlineStr">
        <is>
          <t>BE · Tech Lead</t>
        </is>
      </c>
      <c r="L172" s="8" t="inlineStr">
        <is>
          <t>Khách · Admin</t>
        </is>
      </c>
      <c r="M172" s="8" t="inlineStr">
        <is>
          <t>Web</t>
        </is>
      </c>
      <c r="N172" s="8" t="inlineStr"/>
      <c r="O172" s="8" t="inlineStr"/>
      <c r="P172" s="8" t="inlineStr"/>
      <c r="Q172" s="8" t="inlineStr">
        <is>
          <t>Web + API</t>
        </is>
      </c>
      <c r="R172" s="12" t="inlineStr"/>
      <c r="S172" s="12" t="inlineStr"/>
    </row>
    <row r="173">
      <c r="A173" s="8" t="inlineStr">
        <is>
          <t>T-115</t>
        </is>
      </c>
      <c r="B173" s="8" t="inlineStr">
        <is>
          <t>2 · Phát triển</t>
        </is>
      </c>
      <c r="C173" s="8" t="inlineStr">
        <is>
          <t>S3</t>
        </is>
      </c>
      <c r="D173" s="8" t="inlineStr">
        <is>
          <t>T9–T10</t>
        </is>
      </c>
      <c r="E173" s="8" t="inlineStr">
        <is>
          <t>PAY</t>
        </is>
      </c>
      <c r="F173" s="8" t="inlineStr">
        <is>
          <t>Hoá đơn</t>
        </is>
      </c>
      <c r="G173" s="8" t="inlineStr">
        <is>
          <t>PAY-04</t>
        </is>
      </c>
      <c r="H173" s="8" t="inlineStr">
        <is>
          <t>API 4.4; DB 4.13</t>
        </is>
      </c>
      <c r="I173" s="8" t="inlineStr">
        <is>
          <t>Giao diện và kết nối API — Hoá đơn sinh khi thanh toán thành công; khách và admin xem</t>
        </is>
      </c>
      <c r="J173" s="8" t="n">
        <v>0.5</v>
      </c>
      <c r="K173" s="8" t="inlineStr">
        <is>
          <t>FE · Design</t>
        </is>
      </c>
      <c r="L173" s="8" t="inlineStr">
        <is>
          <t>Khách · Admin</t>
        </is>
      </c>
      <c r="M173" s="8" t="inlineStr">
        <is>
          <t>Web</t>
        </is>
      </c>
      <c r="N173" s="8" t="inlineStr">
        <is>
          <t>T-114</t>
        </is>
      </c>
      <c r="O173" s="8" t="inlineStr"/>
      <c r="P173" s="8" t="inlineStr"/>
      <c r="Q173" s="8" t="inlineStr">
        <is>
          <t>Web + API</t>
        </is>
      </c>
      <c r="R173" s="12" t="inlineStr"/>
      <c r="S173" s="12" t="inlineStr"/>
    </row>
    <row r="174">
      <c r="A174" s="8" t="inlineStr">
        <is>
          <t>T-116</t>
        </is>
      </c>
      <c r="B174" s="8" t="inlineStr">
        <is>
          <t>2 · Phát triển</t>
        </is>
      </c>
      <c r="C174" s="8" t="inlineStr">
        <is>
          <t>S3</t>
        </is>
      </c>
      <c r="D174" s="8" t="inlineStr">
        <is>
          <t>T9–T10</t>
        </is>
      </c>
      <c r="E174" s="8" t="inlineStr">
        <is>
          <t>PAY</t>
        </is>
      </c>
      <c r="F174" s="8" t="inlineStr">
        <is>
          <t>Hoá đơn</t>
        </is>
      </c>
      <c r="G174" s="8" t="inlineStr">
        <is>
          <t>PAY-04</t>
        </is>
      </c>
      <c r="H174" s="8" t="inlineStr">
        <is>
          <t>API 4.4; DB 4.13</t>
        </is>
      </c>
      <c r="I174" s="8" t="inlineStr">
        <is>
          <t>Kiểm thử — Hoá đơn sinh khi thanh toán thành công; khách và admin xem</t>
        </is>
      </c>
      <c r="J174" s="8" t="n">
        <v>0.5</v>
      </c>
      <c r="K174" s="8" t="inlineStr">
        <is>
          <t>QC</t>
        </is>
      </c>
      <c r="L174" s="8" t="inlineStr">
        <is>
          <t>Khách · Admin</t>
        </is>
      </c>
      <c r="M174" s="8" t="inlineStr">
        <is>
          <t>Web</t>
        </is>
      </c>
      <c r="N174" s="8" t="inlineStr">
        <is>
          <t>T-115</t>
        </is>
      </c>
      <c r="O174" s="8" t="inlineStr"/>
      <c r="P174" s="8" t="inlineStr"/>
      <c r="Q174" s="8" t="inlineStr">
        <is>
          <t>Web + API</t>
        </is>
      </c>
      <c r="R174" s="12" t="inlineStr"/>
      <c r="S174" s="12" t="inlineStr"/>
    </row>
    <row r="175">
      <c r="A175" s="11" t="inlineStr"/>
      <c r="B175" s="11" t="inlineStr">
        <is>
          <t>2 · Phát triển</t>
        </is>
      </c>
      <c r="C175" s="11" t="inlineStr"/>
      <c r="D175" s="11" t="inlineStr"/>
      <c r="E175" s="11" t="inlineStr">
        <is>
          <t>PAY</t>
        </is>
      </c>
      <c r="F175" s="11" t="inlineStr">
        <is>
          <t>Quản lý thanh toán</t>
        </is>
      </c>
      <c r="G175" s="11" t="inlineStr"/>
      <c r="H175" s="11" t="inlineStr"/>
      <c r="I175" s="11" t="inlineStr"/>
      <c r="J175" s="11" t="inlineStr"/>
      <c r="K175" s="11" t="inlineStr"/>
      <c r="L175" s="11" t="inlineStr"/>
      <c r="M175" s="11" t="inlineStr"/>
      <c r="N175" s="11" t="inlineStr"/>
      <c r="O175" s="11" t="inlineStr"/>
      <c r="P175" s="11" t="inlineStr"/>
      <c r="Q175" s="11" t="inlineStr"/>
      <c r="R175" s="11" t="inlineStr"/>
      <c r="S175" s="11" t="inlineStr"/>
    </row>
    <row r="176">
      <c r="A176" s="8" t="inlineStr">
        <is>
          <t>T-117</t>
        </is>
      </c>
      <c r="B176" s="8" t="inlineStr">
        <is>
          <t>2 · Phát triển</t>
        </is>
      </c>
      <c r="C176" s="8" t="inlineStr">
        <is>
          <t>S3</t>
        </is>
      </c>
      <c r="D176" s="8" t="inlineStr">
        <is>
          <t>T9–T10</t>
        </is>
      </c>
      <c r="E176" s="8" t="inlineStr">
        <is>
          <t>PAY</t>
        </is>
      </c>
      <c r="F176" s="8" t="inlineStr">
        <is>
          <t>Quản lý thanh toán</t>
        </is>
      </c>
      <c r="G176" s="8" t="inlineStr">
        <is>
          <t>PAY-03</t>
        </is>
      </c>
      <c r="H176" s="8" t="inlineStr">
        <is>
          <t>SRS 7.7; API 4.3</t>
        </is>
      </c>
      <c r="I176" s="8" t="inlineStr">
        <is>
          <t>Thiết kế dữ liệu và API — Quản lý thanh toán: danh sách, xác minh thủ công, huỷ, hoàn tiền</t>
        </is>
      </c>
      <c r="J176" s="8" t="n">
        <v>1.5</v>
      </c>
      <c r="K176" s="8" t="inlineStr">
        <is>
          <t>BE · Tech Lead</t>
        </is>
      </c>
      <c r="L176" s="8" t="inlineStr">
        <is>
          <t>Admin</t>
        </is>
      </c>
      <c r="M176" s="8" t="inlineStr">
        <is>
          <t>Web quản trị</t>
        </is>
      </c>
      <c r="N176" s="8" t="inlineStr"/>
      <c r="O176" s="8" t="inlineStr"/>
      <c r="P176" s="8" t="inlineStr"/>
      <c r="Q176" s="8" t="inlineStr">
        <is>
          <t>Web + API</t>
        </is>
      </c>
      <c r="R176" s="12" t="inlineStr"/>
      <c r="S176" s="12" t="inlineStr"/>
    </row>
    <row r="177">
      <c r="A177" s="8" t="inlineStr">
        <is>
          <t>T-118</t>
        </is>
      </c>
      <c r="B177" s="8" t="inlineStr">
        <is>
          <t>2 · Phát triển</t>
        </is>
      </c>
      <c r="C177" s="8" t="inlineStr">
        <is>
          <t>S3</t>
        </is>
      </c>
      <c r="D177" s="8" t="inlineStr">
        <is>
          <t>T9–T10</t>
        </is>
      </c>
      <c r="E177" s="8" t="inlineStr">
        <is>
          <t>PAY</t>
        </is>
      </c>
      <c r="F177" s="8" t="inlineStr">
        <is>
          <t>Quản lý thanh toán</t>
        </is>
      </c>
      <c r="G177" s="8" t="inlineStr">
        <is>
          <t>PAY-03</t>
        </is>
      </c>
      <c r="H177" s="8" t="inlineStr">
        <is>
          <t>SRS 7.7; API 4.3</t>
        </is>
      </c>
      <c r="I177" s="8" t="inlineStr">
        <is>
          <t>Giao diện và kết nối API — Quản lý thanh toán: danh sách, xác minh thủ công, huỷ, hoàn tiền</t>
        </is>
      </c>
      <c r="J177" s="8" t="n">
        <v>1.5</v>
      </c>
      <c r="K177" s="8" t="inlineStr">
        <is>
          <t>FE · Design</t>
        </is>
      </c>
      <c r="L177" s="8" t="inlineStr">
        <is>
          <t>Admin</t>
        </is>
      </c>
      <c r="M177" s="8" t="inlineStr">
        <is>
          <t>Web quản trị</t>
        </is>
      </c>
      <c r="N177" s="8" t="inlineStr">
        <is>
          <t>T-117</t>
        </is>
      </c>
      <c r="O177" s="8" t="inlineStr"/>
      <c r="P177" s="8" t="inlineStr"/>
      <c r="Q177" s="8" t="inlineStr">
        <is>
          <t>Web + API</t>
        </is>
      </c>
      <c r="R177" s="12" t="inlineStr"/>
      <c r="S177" s="12" t="inlineStr"/>
    </row>
    <row r="178">
      <c r="A178" s="8" t="inlineStr">
        <is>
          <t>T-119</t>
        </is>
      </c>
      <c r="B178" s="8" t="inlineStr">
        <is>
          <t>2 · Phát triển</t>
        </is>
      </c>
      <c r="C178" s="8" t="inlineStr">
        <is>
          <t>S3</t>
        </is>
      </c>
      <c r="D178" s="8" t="inlineStr">
        <is>
          <t>T9–T10</t>
        </is>
      </c>
      <c r="E178" s="8" t="inlineStr">
        <is>
          <t>PAY</t>
        </is>
      </c>
      <c r="F178" s="8" t="inlineStr">
        <is>
          <t>Quản lý thanh toán</t>
        </is>
      </c>
      <c r="G178" s="8" t="inlineStr">
        <is>
          <t>PAY-03</t>
        </is>
      </c>
      <c r="H178" s="8" t="inlineStr">
        <is>
          <t>SRS 7.7; API 4.3</t>
        </is>
      </c>
      <c r="I178" s="8" t="inlineStr">
        <is>
          <t>Kiểm thử — Quản lý thanh toán: danh sách, xác minh thủ công, huỷ, hoàn tiền</t>
        </is>
      </c>
      <c r="J178" s="8" t="n">
        <v>1</v>
      </c>
      <c r="K178" s="8" t="inlineStr">
        <is>
          <t>QC</t>
        </is>
      </c>
      <c r="L178" s="8" t="inlineStr">
        <is>
          <t>Admin</t>
        </is>
      </c>
      <c r="M178" s="8" t="inlineStr">
        <is>
          <t>Web quản trị</t>
        </is>
      </c>
      <c r="N178" s="8" t="inlineStr">
        <is>
          <t>T-118</t>
        </is>
      </c>
      <c r="O178" s="8" t="inlineStr"/>
      <c r="P178" s="8" t="inlineStr"/>
      <c r="Q178" s="8" t="inlineStr">
        <is>
          <t>Web + API</t>
        </is>
      </c>
      <c r="R178" s="12" t="inlineStr"/>
      <c r="S178" s="12" t="inlineStr"/>
    </row>
    <row r="179">
      <c r="A179" s="9" t="inlineStr"/>
      <c r="B179" s="9" t="inlineStr">
        <is>
          <t>2 · Phát triển</t>
        </is>
      </c>
      <c r="C179" s="9" t="inlineStr"/>
      <c r="D179" s="9" t="inlineStr"/>
      <c r="E179" s="9" t="inlineStr">
        <is>
          <t>REV</t>
        </is>
      </c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  <c r="P179" s="9" t="inlineStr"/>
      <c r="Q179" s="9" t="inlineStr"/>
      <c r="R179" s="9" t="inlineStr"/>
      <c r="S179" s="9" t="inlineStr"/>
    </row>
    <row r="180">
      <c r="A180" s="11" t="inlineStr"/>
      <c r="B180" s="11" t="inlineStr">
        <is>
          <t>2 · Phát triển</t>
        </is>
      </c>
      <c r="C180" s="11" t="inlineStr"/>
      <c r="D180" s="11" t="inlineStr"/>
      <c r="E180" s="11" t="inlineStr">
        <is>
          <t>REV</t>
        </is>
      </c>
      <c r="F180" s="11" t="inlineStr">
        <is>
          <t>Đánh giá</t>
        </is>
      </c>
      <c r="G180" s="11" t="inlineStr"/>
      <c r="H180" s="11" t="inlineStr"/>
      <c r="I180" s="11" t="inlineStr"/>
      <c r="J180" s="11" t="inlineStr"/>
      <c r="K180" s="11" t="inlineStr"/>
      <c r="L180" s="11" t="inlineStr"/>
      <c r="M180" s="11" t="inlineStr"/>
      <c r="N180" s="11" t="inlineStr"/>
      <c r="O180" s="11" t="inlineStr"/>
      <c r="P180" s="11" t="inlineStr"/>
      <c r="Q180" s="11" t="inlineStr"/>
      <c r="R180" s="11" t="inlineStr"/>
      <c r="S180" s="11" t="inlineStr"/>
    </row>
    <row r="181">
      <c r="A181" s="8" t="inlineStr">
        <is>
          <t>T-120</t>
        </is>
      </c>
      <c r="B181" s="8" t="inlineStr">
        <is>
          <t>2 · Phát triển</t>
        </is>
      </c>
      <c r="C181" s="8" t="inlineStr">
        <is>
          <t>S3</t>
        </is>
      </c>
      <c r="D181" s="8" t="inlineStr">
        <is>
          <t>T9–T10</t>
        </is>
      </c>
      <c r="E181" s="8" t="inlineStr">
        <is>
          <t>REV</t>
        </is>
      </c>
      <c r="F181" s="8" t="inlineStr">
        <is>
          <t>Đánh giá</t>
        </is>
      </c>
      <c r="G181" s="8" t="inlineStr">
        <is>
          <t>REV-01</t>
        </is>
      </c>
      <c r="H181" s="8" t="inlineStr">
        <is>
          <t>SRS 4.9, 9.7; API 4.5</t>
        </is>
      </c>
      <c r="I181" s="8" t="inlineStr">
        <is>
          <t>Thiết kế dữ liệu và API — Đánh giá sau chuyến đi: một booking một đánh giá, hiện trên trang tour</t>
        </is>
      </c>
      <c r="J181" s="8" t="n">
        <v>1</v>
      </c>
      <c r="K181" s="8" t="inlineStr">
        <is>
          <t>BE · Tech Lead</t>
        </is>
      </c>
      <c r="L181" s="8" t="inlineStr">
        <is>
          <t>Khách</t>
        </is>
      </c>
      <c r="M181" s="8" t="inlineStr">
        <is>
          <t>Web + API</t>
        </is>
      </c>
      <c r="N181" s="8" t="inlineStr"/>
      <c r="O181" s="8" t="inlineStr"/>
      <c r="P181" s="8" t="inlineStr"/>
      <c r="Q181" s="8" t="inlineStr">
        <is>
          <t>Web + API</t>
        </is>
      </c>
      <c r="R181" s="12" t="inlineStr"/>
      <c r="S181" s="12" t="inlineStr"/>
    </row>
    <row r="182">
      <c r="A182" s="8" t="inlineStr">
        <is>
          <t>T-121</t>
        </is>
      </c>
      <c r="B182" s="8" t="inlineStr">
        <is>
          <t>2 · Phát triển</t>
        </is>
      </c>
      <c r="C182" s="8" t="inlineStr">
        <is>
          <t>S3</t>
        </is>
      </c>
      <c r="D182" s="8" t="inlineStr">
        <is>
          <t>T9–T10</t>
        </is>
      </c>
      <c r="E182" s="8" t="inlineStr">
        <is>
          <t>REV</t>
        </is>
      </c>
      <c r="F182" s="8" t="inlineStr">
        <is>
          <t>Đánh giá</t>
        </is>
      </c>
      <c r="G182" s="8" t="inlineStr">
        <is>
          <t>REV-01</t>
        </is>
      </c>
      <c r="H182" s="8" t="inlineStr">
        <is>
          <t>SRS 4.9, 9.7; API 4.5</t>
        </is>
      </c>
      <c r="I182" s="8" t="inlineStr">
        <is>
          <t>Giao diện và kết nối API — Đánh giá sau chuyến đi: một booking một đánh giá, hiện trên trang tour</t>
        </is>
      </c>
      <c r="J182" s="8" t="n">
        <v>1</v>
      </c>
      <c r="K182" s="8" t="inlineStr">
        <is>
          <t>FE · Design</t>
        </is>
      </c>
      <c r="L182" s="8" t="inlineStr">
        <is>
          <t>Khách</t>
        </is>
      </c>
      <c r="M182" s="8" t="inlineStr">
        <is>
          <t>Web + API</t>
        </is>
      </c>
      <c r="N182" s="8" t="inlineStr">
        <is>
          <t>T-120</t>
        </is>
      </c>
      <c r="O182" s="8" t="inlineStr"/>
      <c r="P182" s="8" t="inlineStr"/>
      <c r="Q182" s="8" t="inlineStr">
        <is>
          <t>Web + API</t>
        </is>
      </c>
      <c r="R182" s="12" t="inlineStr"/>
      <c r="S182" s="12" t="inlineStr"/>
    </row>
    <row r="183">
      <c r="A183" s="8" t="inlineStr">
        <is>
          <t>T-122</t>
        </is>
      </c>
      <c r="B183" s="8" t="inlineStr">
        <is>
          <t>2 · Phát triển</t>
        </is>
      </c>
      <c r="C183" s="8" t="inlineStr">
        <is>
          <t>S3</t>
        </is>
      </c>
      <c r="D183" s="8" t="inlineStr">
        <is>
          <t>T9–T10</t>
        </is>
      </c>
      <c r="E183" s="8" t="inlineStr">
        <is>
          <t>REV</t>
        </is>
      </c>
      <c r="F183" s="8" t="inlineStr">
        <is>
          <t>Đánh giá</t>
        </is>
      </c>
      <c r="G183" s="8" t="inlineStr">
        <is>
          <t>REV-01</t>
        </is>
      </c>
      <c r="H183" s="8" t="inlineStr">
        <is>
          <t>SRS 4.9, 9.7; API 4.5</t>
        </is>
      </c>
      <c r="I183" s="8" t="inlineStr">
        <is>
          <t>Kiểm thử — Đánh giá sau chuyến đi: một booking một đánh giá, hiện trên trang tour</t>
        </is>
      </c>
      <c r="J183" s="8" t="n">
        <v>0.5</v>
      </c>
      <c r="K183" s="8" t="inlineStr">
        <is>
          <t>QC</t>
        </is>
      </c>
      <c r="L183" s="8" t="inlineStr">
        <is>
          <t>Khách</t>
        </is>
      </c>
      <c r="M183" s="8" t="inlineStr">
        <is>
          <t>Web + API</t>
        </is>
      </c>
      <c r="N183" s="8" t="inlineStr">
        <is>
          <t>T-121</t>
        </is>
      </c>
      <c r="O183" s="8" t="inlineStr"/>
      <c r="P183" s="8" t="inlineStr"/>
      <c r="Q183" s="8" t="inlineStr">
        <is>
          <t>Web + API</t>
        </is>
      </c>
      <c r="R183" s="12" t="inlineStr"/>
      <c r="S183" s="12" t="inlineStr"/>
    </row>
    <row r="184">
      <c r="A184" s="8" t="inlineStr">
        <is>
          <t>T-123</t>
        </is>
      </c>
      <c r="B184" s="8" t="inlineStr">
        <is>
          <t>2 · Phát triển</t>
        </is>
      </c>
      <c r="C184" s="8" t="inlineStr">
        <is>
          <t>S3</t>
        </is>
      </c>
      <c r="D184" s="8" t="inlineStr">
        <is>
          <t>T9–T10</t>
        </is>
      </c>
      <c r="E184" s="8" t="inlineStr">
        <is>
          <t>REV</t>
        </is>
      </c>
      <c r="F184" s="8" t="inlineStr">
        <is>
          <t>Đánh giá</t>
        </is>
      </c>
      <c r="G184" s="8" t="inlineStr">
        <is>
          <t>REV-02</t>
        </is>
      </c>
      <c r="H184" s="8" t="inlineStr">
        <is>
          <t>SRS 9.7; DB reviews.status</t>
        </is>
      </c>
      <c r="I184" s="8" t="inlineStr">
        <is>
          <t>Thiết kế dữ liệu và API — Kiểm duyệt đánh giá: ẩn, hiện</t>
        </is>
      </c>
      <c r="J184" s="8" t="n">
        <v>0.5</v>
      </c>
      <c r="K184" s="8" t="inlineStr">
        <is>
          <t>BE · Tech Lead</t>
        </is>
      </c>
      <c r="L184" s="8" t="inlineStr">
        <is>
          <t>Tour Manager · Admin</t>
        </is>
      </c>
      <c r="M184" s="8" t="inlineStr">
        <is>
          <t>Web quản trị</t>
        </is>
      </c>
      <c r="N184" s="8" t="inlineStr"/>
      <c r="O184" s="8" t="inlineStr"/>
      <c r="P184" s="8" t="inlineStr"/>
      <c r="Q184" s="8" t="inlineStr">
        <is>
          <t>Web + API</t>
        </is>
      </c>
      <c r="R184" s="12" t="inlineStr"/>
      <c r="S184" s="12" t="inlineStr"/>
    </row>
    <row r="185">
      <c r="A185" s="8" t="inlineStr">
        <is>
          <t>T-124</t>
        </is>
      </c>
      <c r="B185" s="8" t="inlineStr">
        <is>
          <t>2 · Phát triển</t>
        </is>
      </c>
      <c r="C185" s="8" t="inlineStr">
        <is>
          <t>S3</t>
        </is>
      </c>
      <c r="D185" s="8" t="inlineStr">
        <is>
          <t>T9–T10</t>
        </is>
      </c>
      <c r="E185" s="8" t="inlineStr">
        <is>
          <t>REV</t>
        </is>
      </c>
      <c r="F185" s="8" t="inlineStr">
        <is>
          <t>Đánh giá</t>
        </is>
      </c>
      <c r="G185" s="8" t="inlineStr">
        <is>
          <t>REV-02</t>
        </is>
      </c>
      <c r="H185" s="8" t="inlineStr">
        <is>
          <t>SRS 9.7; DB reviews.status</t>
        </is>
      </c>
      <c r="I185" s="8" t="inlineStr">
        <is>
          <t>Giao diện và kết nối API — Kiểm duyệt đánh giá: ẩn, hiện</t>
        </is>
      </c>
      <c r="J185" s="8" t="n">
        <v>0.5</v>
      </c>
      <c r="K185" s="8" t="inlineStr">
        <is>
          <t>FE · Design</t>
        </is>
      </c>
      <c r="L185" s="8" t="inlineStr">
        <is>
          <t>Tour Manager · Admin</t>
        </is>
      </c>
      <c r="M185" s="8" t="inlineStr">
        <is>
          <t>Web quản trị</t>
        </is>
      </c>
      <c r="N185" s="8" t="inlineStr">
        <is>
          <t>T-123</t>
        </is>
      </c>
      <c r="O185" s="8" t="inlineStr"/>
      <c r="P185" s="8" t="inlineStr"/>
      <c r="Q185" s="8" t="inlineStr">
        <is>
          <t>Web + API</t>
        </is>
      </c>
      <c r="R185" s="12" t="inlineStr"/>
      <c r="S185" s="12" t="inlineStr"/>
    </row>
    <row r="186">
      <c r="A186" s="8" t="inlineStr">
        <is>
          <t>T-125</t>
        </is>
      </c>
      <c r="B186" s="8" t="inlineStr">
        <is>
          <t>2 · Phát triển</t>
        </is>
      </c>
      <c r="C186" s="8" t="inlineStr">
        <is>
          <t>S3</t>
        </is>
      </c>
      <c r="D186" s="8" t="inlineStr">
        <is>
          <t>T9–T10</t>
        </is>
      </c>
      <c r="E186" s="8" t="inlineStr">
        <is>
          <t>REV</t>
        </is>
      </c>
      <c r="F186" s="8" t="inlineStr">
        <is>
          <t>Đánh giá</t>
        </is>
      </c>
      <c r="G186" s="8" t="inlineStr">
        <is>
          <t>REV-02</t>
        </is>
      </c>
      <c r="H186" s="8" t="inlineStr">
        <is>
          <t>SRS 9.7; DB reviews.status</t>
        </is>
      </c>
      <c r="I186" s="8" t="inlineStr">
        <is>
          <t>Kiểm thử — Kiểm duyệt đánh giá: ẩn, hiện</t>
        </is>
      </c>
      <c r="J186" s="8" t="n">
        <v>0.5</v>
      </c>
      <c r="K186" s="8" t="inlineStr">
        <is>
          <t>QC</t>
        </is>
      </c>
      <c r="L186" s="8" t="inlineStr">
        <is>
          <t>Tour Manager · Admin</t>
        </is>
      </c>
      <c r="M186" s="8" t="inlineStr">
        <is>
          <t>Web quản trị</t>
        </is>
      </c>
      <c r="N186" s="8" t="inlineStr">
        <is>
          <t>T-124</t>
        </is>
      </c>
      <c r="O186" s="8" t="inlineStr"/>
      <c r="P186" s="8" t="inlineStr"/>
      <c r="Q186" s="8" t="inlineStr">
        <is>
          <t>Web + API</t>
        </is>
      </c>
      <c r="R186" s="12" t="inlineStr"/>
      <c r="S186" s="12" t="inlineStr"/>
    </row>
    <row r="187">
      <c r="A187" s="10" t="inlineStr">
        <is>
          <t>3 · Kiểm thử và demo</t>
        </is>
      </c>
      <c r="B187" s="10" t="inlineStr"/>
      <c r="C187" s="10" t="inlineStr"/>
      <c r="D187" s="10" t="inlineStr"/>
      <c r="E187" s="10" t="inlineStr"/>
      <c r="F187" s="10" t="inlineStr"/>
      <c r="G187" s="10" t="inlineStr"/>
      <c r="H187" s="10" t="inlineStr"/>
      <c r="I187" s="10" t="inlineStr"/>
      <c r="J187" s="10" t="inlineStr"/>
      <c r="K187" s="10" t="inlineStr"/>
      <c r="L187" s="10" t="inlineStr"/>
      <c r="M187" s="10" t="inlineStr"/>
      <c r="N187" s="10" t="inlineStr"/>
      <c r="O187" s="10" t="inlineStr"/>
      <c r="P187" s="10" t="inlineStr"/>
      <c r="Q187" s="10" t="inlineStr"/>
      <c r="R187" s="10" t="inlineStr"/>
      <c r="S187" s="10" t="inlineStr"/>
    </row>
    <row r="188">
      <c r="A188" s="9" t="inlineStr"/>
      <c r="B188" s="9" t="inlineStr">
        <is>
          <t>3 · Kiểm thử và demo</t>
        </is>
      </c>
      <c r="C188" s="9" t="inlineStr"/>
      <c r="D188" s="9" t="inlineStr"/>
      <c r="E188" s="9" t="inlineStr">
        <is>
          <t>NỀN</t>
        </is>
      </c>
      <c r="F188" s="9" t="inlineStr"/>
      <c r="G188" s="9" t="inlineStr"/>
      <c r="H188" s="9" t="inlineStr"/>
      <c r="I188" s="9" t="inlineStr"/>
      <c r="J188" s="9" t="inlineStr"/>
      <c r="K188" s="9" t="inlineStr"/>
      <c r="L188" s="9" t="inlineStr"/>
      <c r="M188" s="9" t="inlineStr"/>
      <c r="N188" s="9" t="inlineStr"/>
      <c r="O188" s="9" t="inlineStr"/>
      <c r="P188" s="9" t="inlineStr"/>
      <c r="Q188" s="9" t="inlineStr"/>
      <c r="R188" s="9" t="inlineStr"/>
      <c r="S188" s="9" t="inlineStr"/>
    </row>
    <row r="189">
      <c r="A189" s="11" t="inlineStr"/>
      <c r="B189" s="11" t="inlineStr">
        <is>
          <t>3 · Kiểm thử và demo</t>
        </is>
      </c>
      <c r="C189" s="11" t="inlineStr"/>
      <c r="D189" s="11" t="inlineStr"/>
      <c r="E189" s="11" t="inlineStr">
        <is>
          <t>NỀN</t>
        </is>
      </c>
      <c r="F189" s="11" t="inlineStr">
        <is>
          <t>Chất lượng</t>
        </is>
      </c>
      <c r="G189" s="11" t="inlineStr"/>
      <c r="H189" s="11" t="inlineStr"/>
      <c r="I189" s="11" t="inlineStr"/>
      <c r="J189" s="11" t="inlineStr"/>
      <c r="K189" s="11" t="inlineStr"/>
      <c r="L189" s="11" t="inlineStr"/>
      <c r="M189" s="11" t="inlineStr"/>
      <c r="N189" s="11" t="inlineStr"/>
      <c r="O189" s="11" t="inlineStr"/>
      <c r="P189" s="11" t="inlineStr"/>
      <c r="Q189" s="11" t="inlineStr"/>
      <c r="R189" s="11" t="inlineStr"/>
      <c r="S189" s="11" t="inlineStr"/>
    </row>
    <row r="190">
      <c r="A190" s="8" t="inlineStr">
        <is>
          <t>T-126</t>
        </is>
      </c>
      <c r="B190" s="8" t="inlineStr">
        <is>
          <t>3 · Kiểm thử và demo</t>
        </is>
      </c>
      <c r="C190" s="8" t="inlineStr"/>
      <c r="D190" s="8" t="inlineStr">
        <is>
          <t>T11–T12</t>
        </is>
      </c>
      <c r="E190" s="8" t="inlineStr">
        <is>
          <t>NỀN</t>
        </is>
      </c>
      <c r="F190" s="8" t="inlineStr">
        <is>
          <t>Chất lượng</t>
        </is>
      </c>
      <c r="G190" s="8" t="inlineStr">
        <is>
          <t>QA-01</t>
        </is>
      </c>
      <c r="H190" s="8" t="inlineStr">
        <is>
          <t>Kế hoạch khoá T11–T12</t>
        </is>
      </c>
      <c r="I190" s="8" t="inlineStr">
        <is>
          <t>Chuẩn bị và thực hiện — Kiểm thử nghiệm thu luồng chính, sửa lỗi, chụp màn hình và chuẩn bị demo</t>
        </is>
      </c>
      <c r="J190" s="8" t="n">
        <v>3</v>
      </c>
      <c r="K190" s="8" t="inlineStr">
        <is>
          <t>PM · DevOps</t>
        </is>
      </c>
      <c r="L190" s="8" t="inlineStr">
        <is>
          <t>Mentor</t>
        </is>
      </c>
      <c r="M190" s="8" t="inlineStr">
        <is>
          <t>Toàn hệ thống</t>
        </is>
      </c>
      <c r="N190" s="8" t="inlineStr"/>
      <c r="O190" s="8" t="inlineStr">
        <is>
          <t>✓</t>
        </is>
      </c>
      <c r="P190" s="8" t="inlineStr"/>
      <c r="Q190" s="8" t="inlineStr">
        <is>
          <t>Web + API</t>
        </is>
      </c>
      <c r="R190" s="12" t="inlineStr"/>
      <c r="S190" s="12" t="inlineStr"/>
    </row>
    <row r="191">
      <c r="A191" s="8" t="inlineStr">
        <is>
          <t>T-127</t>
        </is>
      </c>
      <c r="B191" s="8" t="inlineStr">
        <is>
          <t>3 · Kiểm thử và demo</t>
        </is>
      </c>
      <c r="C191" s="8" t="inlineStr"/>
      <c r="D191" s="8" t="inlineStr">
        <is>
          <t>T11–T12</t>
        </is>
      </c>
      <c r="E191" s="8" t="inlineStr">
        <is>
          <t>NỀN</t>
        </is>
      </c>
      <c r="F191" s="8" t="inlineStr">
        <is>
          <t>Chất lượng</t>
        </is>
      </c>
      <c r="G191" s="8" t="inlineStr">
        <is>
          <t>QA-01</t>
        </is>
      </c>
      <c r="H191" s="8" t="inlineStr">
        <is>
          <t>Kế hoạch khoá T11–T12</t>
        </is>
      </c>
      <c r="I191" s="8" t="inlineStr">
        <is>
          <t>Kiểm tra và bàn giao — Kiểm thử nghiệm thu luồng chính, sửa lỗi, chụp màn hình và chuẩn bị demo</t>
        </is>
      </c>
      <c r="J191" s="8" t="n">
        <v>2</v>
      </c>
      <c r="K191" s="8" t="inlineStr">
        <is>
          <t>QC · PM</t>
        </is>
      </c>
      <c r="L191" s="8" t="inlineStr">
        <is>
          <t>Mentor</t>
        </is>
      </c>
      <c r="M191" s="8" t="inlineStr">
        <is>
          <t>Toàn hệ thống</t>
        </is>
      </c>
      <c r="N191" s="8" t="inlineStr">
        <is>
          <t>T-126</t>
        </is>
      </c>
      <c r="O191" s="8" t="inlineStr">
        <is>
          <t>✓</t>
        </is>
      </c>
      <c r="P191" s="8" t="inlineStr"/>
      <c r="Q191" s="8" t="inlineStr">
        <is>
          <t>Web + API</t>
        </is>
      </c>
      <c r="R191" s="12" t="inlineStr"/>
      <c r="S191" s="12" t="inlineStr"/>
    </row>
    <row r="192">
      <c r="A192" s="11" t="inlineStr"/>
      <c r="B192" s="11" t="inlineStr">
        <is>
          <t>3 · Kiểm thử và demo</t>
        </is>
      </c>
      <c r="C192" s="11" t="inlineStr"/>
      <c r="D192" s="11" t="inlineStr"/>
      <c r="E192" s="11" t="inlineStr">
        <is>
          <t>NỀN</t>
        </is>
      </c>
      <c r="F192" s="11" t="inlineStr">
        <is>
          <t>Tài liệu</t>
        </is>
      </c>
      <c r="G192" s="11" t="inlineStr"/>
      <c r="H192" s="11" t="inlineStr"/>
      <c r="I192" s="11" t="inlineStr"/>
      <c r="J192" s="11" t="inlineStr"/>
      <c r="K192" s="11" t="inlineStr"/>
      <c r="L192" s="11" t="inlineStr"/>
      <c r="M192" s="11" t="inlineStr"/>
      <c r="N192" s="11" t="inlineStr"/>
      <c r="O192" s="11" t="inlineStr"/>
      <c r="P192" s="11" t="inlineStr"/>
      <c r="Q192" s="11" t="inlineStr"/>
      <c r="R192" s="11" t="inlineStr"/>
      <c r="S192" s="11" t="inlineStr"/>
    </row>
    <row r="193">
      <c r="A193" s="8" t="inlineStr">
        <is>
          <t>T-128</t>
        </is>
      </c>
      <c r="B193" s="8" t="inlineStr">
        <is>
          <t>3 · Kiểm thử và demo</t>
        </is>
      </c>
      <c r="C193" s="8" t="inlineStr"/>
      <c r="D193" s="8" t="inlineStr">
        <is>
          <t>T11–T12</t>
        </is>
      </c>
      <c r="E193" s="8" t="inlineStr">
        <is>
          <t>NỀN</t>
        </is>
      </c>
      <c r="F193" s="8" t="inlineStr">
        <is>
          <t>Tài liệu</t>
        </is>
      </c>
      <c r="G193" s="8" t="inlineStr">
        <is>
          <t>QA-02</t>
        </is>
      </c>
      <c r="H193" s="8" t="inlineStr">
        <is>
          <t>Handover T1 §5</t>
        </is>
      </c>
      <c r="I193" s="8" t="inlineStr">
        <is>
          <t>Phỏng vấn, chốt quy tắc và viết tài liệu — Tài liệu bàn giao: runbook demo, tài khoản mẫu, bảng so sánh mentor – intern</t>
        </is>
      </c>
      <c r="J193" s="8" t="n">
        <v>1</v>
      </c>
      <c r="K193" s="8" t="inlineStr">
        <is>
          <t>BA · PM</t>
        </is>
      </c>
      <c r="L193" s="8" t="inlineStr">
        <is>
          <t>Mentor</t>
        </is>
      </c>
      <c r="M193" s="8" t="inlineStr">
        <is>
          <t>Tài liệu</t>
        </is>
      </c>
      <c r="N193" s="8" t="inlineStr"/>
      <c r="O193" s="8" t="inlineStr"/>
      <c r="P193" s="8" t="inlineStr"/>
      <c r="Q193" s="8" t="inlineStr">
        <is>
          <t>Web + API</t>
        </is>
      </c>
      <c r="R193" s="12" t="inlineStr"/>
      <c r="S193" s="12" t="inlineStr"/>
    </row>
    <row r="194">
      <c r="A194" s="8" t="inlineStr">
        <is>
          <t>T-129</t>
        </is>
      </c>
      <c r="B194" s="8" t="inlineStr">
        <is>
          <t>3 · Kiểm thử và demo</t>
        </is>
      </c>
      <c r="C194" s="8" t="inlineStr"/>
      <c r="D194" s="8" t="inlineStr">
        <is>
          <t>T11–T12</t>
        </is>
      </c>
      <c r="E194" s="8" t="inlineStr">
        <is>
          <t>NỀN</t>
        </is>
      </c>
      <c r="F194" s="8" t="inlineStr">
        <is>
          <t>Tài liệu</t>
        </is>
      </c>
      <c r="G194" s="8" t="inlineStr">
        <is>
          <t>QA-02</t>
        </is>
      </c>
      <c r="H194" s="8" t="inlineStr">
        <is>
          <t>Handover T1 §5</t>
        </is>
      </c>
      <c r="I194" s="8" t="inlineStr">
        <is>
          <t>Tổng hợp, rà soát và duyệt — Tài liệu bàn giao: runbook demo, tài khoản mẫu, bảng so sánh mentor – intern</t>
        </is>
      </c>
      <c r="J194" s="8" t="n">
        <v>1</v>
      </c>
      <c r="K194" s="8" t="inlineStr">
        <is>
          <t>PM</t>
        </is>
      </c>
      <c r="L194" s="8" t="inlineStr">
        <is>
          <t>Mentor</t>
        </is>
      </c>
      <c r="M194" s="8" t="inlineStr">
        <is>
          <t>Tài liệu</t>
        </is>
      </c>
      <c r="N194" s="8" t="inlineStr">
        <is>
          <t>T-128</t>
        </is>
      </c>
      <c r="O194" s="8" t="inlineStr"/>
      <c r="P194" s="8" t="inlineStr"/>
      <c r="Q194" s="8" t="inlineStr">
        <is>
          <t>Web + API</t>
        </is>
      </c>
      <c r="R194" s="12" t="inlineStr"/>
      <c r="S194" s="12" t="inlineStr"/>
    </row>
    <row r="195">
      <c r="A195" s="11" t="inlineStr"/>
      <c r="B195" s="11" t="inlineStr">
        <is>
          <t>3 · Kiểm thử và demo</t>
        </is>
      </c>
      <c r="C195" s="11" t="inlineStr"/>
      <c r="D195" s="11" t="inlineStr"/>
      <c r="E195" s="11" t="inlineStr">
        <is>
          <t>NỀN</t>
        </is>
      </c>
      <c r="F195" s="11" t="inlineStr">
        <is>
          <t>Vận hành</t>
        </is>
      </c>
      <c r="G195" s="11" t="inlineStr"/>
      <c r="H195" s="11" t="inlineStr"/>
      <c r="I195" s="11" t="inlineStr"/>
      <c r="J195" s="11" t="inlineStr"/>
      <c r="K195" s="11" t="inlineStr"/>
      <c r="L195" s="11" t="inlineStr"/>
      <c r="M195" s="11" t="inlineStr"/>
      <c r="N195" s="11" t="inlineStr"/>
      <c r="O195" s="11" t="inlineStr"/>
      <c r="P195" s="11" t="inlineStr"/>
      <c r="Q195" s="11" t="inlineStr"/>
      <c r="R195" s="11" t="inlineStr"/>
      <c r="S195" s="11" t="inlineStr"/>
    </row>
    <row r="196">
      <c r="A196" s="8" t="inlineStr">
        <is>
          <t>T-130</t>
        </is>
      </c>
      <c r="B196" s="8" t="inlineStr">
        <is>
          <t>3 · Kiểm thử và demo</t>
        </is>
      </c>
      <c r="C196" s="8" t="inlineStr"/>
      <c r="D196" s="8" t="inlineStr">
        <is>
          <t>T11–T12</t>
        </is>
      </c>
      <c r="E196" s="8" t="inlineStr">
        <is>
          <t>NỀN</t>
        </is>
      </c>
      <c r="F196" s="8" t="inlineStr">
        <is>
          <t>Vận hành</t>
        </is>
      </c>
      <c r="G196" s="8" t="inlineStr">
        <is>
          <t>SYS-05</t>
        </is>
      </c>
      <c r="H196" s="8" t="inlineStr">
        <is>
          <t>SRS 7.6, 8.4</t>
        </is>
      </c>
      <c r="I196" s="8" t="inlineStr">
        <is>
          <t>Chuẩn bị và thực hiện — Sao lưu và phục hồi dữ liệu</t>
        </is>
      </c>
      <c r="J196" s="8" t="n">
        <v>1</v>
      </c>
      <c r="K196" s="8" t="inlineStr">
        <is>
          <t>PM · DevOps</t>
        </is>
      </c>
      <c r="L196" s="8" t="inlineStr">
        <is>
          <t>Admin</t>
        </is>
      </c>
      <c r="M196" s="8" t="inlineStr">
        <is>
          <t>Hạ tầng</t>
        </is>
      </c>
      <c r="N196" s="8" t="inlineStr"/>
      <c r="O196" s="8" t="inlineStr"/>
      <c r="P196" s="8" t="inlineStr"/>
      <c r="Q196" s="8" t="inlineStr">
        <is>
          <t>Web + API</t>
        </is>
      </c>
      <c r="R196" s="12" t="inlineStr"/>
      <c r="S196" s="12" t="inlineStr"/>
    </row>
    <row r="197">
      <c r="A197" s="8" t="inlineStr">
        <is>
          <t>T-131</t>
        </is>
      </c>
      <c r="B197" s="8" t="inlineStr">
        <is>
          <t>3 · Kiểm thử và demo</t>
        </is>
      </c>
      <c r="C197" s="8" t="inlineStr"/>
      <c r="D197" s="8" t="inlineStr">
        <is>
          <t>T11–T12</t>
        </is>
      </c>
      <c r="E197" s="8" t="inlineStr">
        <is>
          <t>NỀN</t>
        </is>
      </c>
      <c r="F197" s="8" t="inlineStr">
        <is>
          <t>Vận hành</t>
        </is>
      </c>
      <c r="G197" s="8" t="inlineStr">
        <is>
          <t>SYS-05</t>
        </is>
      </c>
      <c r="H197" s="8" t="inlineStr">
        <is>
          <t>SRS 7.6, 8.4</t>
        </is>
      </c>
      <c r="I197" s="8" t="inlineStr">
        <is>
          <t>Kiểm tra và bàn giao — Sao lưu và phục hồi dữ liệu</t>
        </is>
      </c>
      <c r="J197" s="8" t="n">
        <v>1</v>
      </c>
      <c r="K197" s="8" t="inlineStr">
        <is>
          <t>QC · PM</t>
        </is>
      </c>
      <c r="L197" s="8" t="inlineStr">
        <is>
          <t>Admin</t>
        </is>
      </c>
      <c r="M197" s="8" t="inlineStr">
        <is>
          <t>Hạ tầng</t>
        </is>
      </c>
      <c r="N197" s="8" t="inlineStr">
        <is>
          <t>T-130</t>
        </is>
      </c>
      <c r="O197" s="8" t="inlineStr"/>
      <c r="P197" s="8" t="inlineStr"/>
      <c r="Q197" s="8" t="inlineStr">
        <is>
          <t>Web + API</t>
        </is>
      </c>
      <c r="R197" s="12" t="inlineStr"/>
      <c r="S197" s="12" t="inlineStr"/>
    </row>
    <row r="199">
      <c r="A199" s="4" t="inlineStr">
        <is>
          <t>© 2026 TVT GROUP · Tài liệu nội bộ · 23/09/2026</t>
        </is>
      </c>
    </row>
  </sheetData>
  <autoFilter ref="A3:S1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60" customWidth="1" min="4" max="4"/>
    <col width="30" customWidth="1" min="5" max="5"/>
    <col width="20" customWidth="1" min="6" max="6"/>
  </cols>
  <sheetData>
    <row r="1">
      <c r="A1" s="5" t="inlineStr">
        <is>
          <t>Lộ trình theo giai đoạn</t>
        </is>
      </c>
    </row>
    <row r="2">
      <c r="A2" s="6" t="inlineStr">
        <is>
          <t>Mỗi giai đoạn tách thành đầu mục và đầu ra</t>
        </is>
      </c>
    </row>
    <row r="3">
      <c r="A3" s="7" t="inlineStr">
        <is>
          <t>Giai đoạn</t>
        </is>
      </c>
      <c r="B3" s="7" t="inlineStr">
        <is>
          <t>Tuần</t>
        </is>
      </c>
      <c r="C3" s="7" t="inlineStr">
        <is>
          <t>Đầu mục</t>
        </is>
      </c>
      <c r="D3" s="7" t="inlineStr">
        <is>
          <t>Nội dung chi tiết</t>
        </is>
      </c>
      <c r="E3" s="7" t="inlineStr">
        <is>
          <t>Đầu ra</t>
        </is>
      </c>
      <c r="F3" s="7" t="inlineStr">
        <is>
          <t>Chủ trì</t>
        </is>
      </c>
    </row>
    <row r="4">
      <c r="A4" s="8" t="inlineStr">
        <is>
          <t>0 · Tài liệu và chốt phạm vi</t>
        </is>
      </c>
      <c r="B4" s="8" t="inlineStr">
        <is>
          <t>T1–T2</t>
        </is>
      </c>
      <c r="C4" s="8" t="inlineStr">
        <is>
          <t>Chốt baseline tài liệu</t>
        </is>
      </c>
      <c r="D4" s="8" t="inlineStr">
        <is>
          <t>Rà SRS/DB/Arch/API/Mockup của intern; lập gap list; chốt enum trạng thái, timeout, chính sách huỷ</t>
        </is>
      </c>
      <c r="E4" s="8" t="inlineStr">
        <is>
          <t>Gap list + decisions.md</t>
        </is>
      </c>
      <c r="F4" s="8" t="inlineStr">
        <is>
          <t>Mentor</t>
        </is>
      </c>
    </row>
    <row r="5">
      <c r="A5" s="8" t="inlineStr">
        <is>
          <t>1 · UX/UI và nền tảng kỹ thuật</t>
        </is>
      </c>
      <c r="B5" s="8" t="inlineStr">
        <is>
          <t>T3–T4</t>
        </is>
      </c>
      <c r="C5" s="8" t="inlineStr">
        <is>
          <t>Design system và khung dự án</t>
        </is>
      </c>
      <c r="D5" s="8" t="inlineStr">
        <is>
          <t>UI UX Pro Max → design tokens; skeleton BE/FE; Docker Compose; Flyway V1; khung ApiResponse</t>
        </is>
      </c>
      <c r="E5" s="8" t="inlineStr">
        <is>
          <t>Repo chạy được, Swagger</t>
        </is>
      </c>
      <c r="F5" s="8" t="inlineStr">
        <is>
          <t>Mentor</t>
        </is>
      </c>
    </row>
    <row r="6">
      <c r="A6" s="8" t="inlineStr">
        <is>
          <t>1 · UX/UI và nền tảng kỹ thuật</t>
        </is>
      </c>
      <c r="B6" s="8" t="inlineStr">
        <is>
          <t>T3</t>
        </is>
      </c>
      <c r="C6" s="8" t="inlineStr">
        <is>
          <t>POC mentor 1 tuần</t>
        </is>
      </c>
      <c r="D6" s="8" t="inlineStr">
        <is>
          <t>Toàn bộ Mức 1: auth, tour, lịch, đặt có giữ chỗ, thanh toán giả lập, HDV, đánh giá, admin cơ bản</t>
        </is>
      </c>
      <c r="E6" s="8" t="inlineStr">
        <is>
          <t>POC chạy trên Docker + screenshot</t>
        </is>
      </c>
      <c r="F6" s="8" t="inlineStr">
        <is>
          <t>Mentor</t>
        </is>
      </c>
    </row>
    <row r="7">
      <c r="A7" s="8" t="inlineStr">
        <is>
          <t>2 · Phát triển</t>
        </is>
      </c>
      <c r="B7" s="8" t="inlineStr">
        <is>
          <t>T5–T6 (S1)</t>
        </is>
      </c>
      <c r="C7" s="8" t="inlineStr">
        <is>
          <t>Nền + catalog</t>
        </is>
      </c>
      <c r="D7" s="8" t="inlineStr">
        <is>
          <t>Auth, RBAC, danh mục, địa điểm, tour, lịch trình, tìm kiếm, chi tiết tour, lịch khởi hành</t>
        </is>
      </c>
      <c r="E7" s="8" t="inlineStr">
        <is>
          <t>Khách tìm được tour</t>
        </is>
      </c>
      <c r="F7" s="8" t="inlineStr">
        <is>
          <t>Mentor/Intern</t>
        </is>
      </c>
    </row>
    <row r="8">
      <c r="A8" s="8" t="inlineStr">
        <is>
          <t>2 · Phát triển</t>
        </is>
      </c>
      <c r="B8" s="8" t="inlineStr">
        <is>
          <t>T7–T8 (S2)</t>
        </is>
      </c>
      <c r="C8" s="8" t="inlineStr">
        <is>
          <t>Đặt và thanh toán</t>
        </is>
      </c>
      <c r="D8" s="8" t="inlineStr">
        <is>
          <t>Booking + state machine + job hết hạn, thanh toán adapter + webhook, đơn của tôi, HDV, quản lý đơn, tài khoản, cấu hình</t>
        </is>
      </c>
      <c r="E8" s="8" t="inlineStr">
        <is>
          <t>Luồng đầu–cuối</t>
        </is>
      </c>
      <c r="F8" s="8" t="inlineStr">
        <is>
          <t>Mentor/Intern</t>
        </is>
      </c>
    </row>
    <row r="9">
      <c r="A9" s="8" t="inlineStr">
        <is>
          <t>2 · Phát triển</t>
        </is>
      </c>
      <c r="B9" s="8" t="inlineStr">
        <is>
          <t>T9–T10 (S3)</t>
        </is>
      </c>
      <c r="C9" s="8" t="inlineStr">
        <is>
          <t>Hoàn thiện theo SRS</t>
        </is>
      </c>
      <c r="D9" s="8" t="inlineStr">
        <is>
          <t>Huỷ/hoàn, quản lý thanh toán, hoá đơn, đánh giá, thông báo, thống kê, roles, audit</t>
        </is>
      </c>
      <c r="E9" s="8" t="inlineStr">
        <is>
          <t>Đủ Mức 2</t>
        </is>
      </c>
      <c r="F9" s="8" t="inlineStr">
        <is>
          <t>Mentor/Intern</t>
        </is>
      </c>
    </row>
    <row r="10">
      <c r="A10" s="8" t="inlineStr">
        <is>
          <t>3 · Kiểm thử và demo</t>
        </is>
      </c>
      <c r="B10" s="8" t="inlineStr">
        <is>
          <t>T11–T12</t>
        </is>
      </c>
      <c r="C10" s="8" t="inlineStr">
        <is>
          <t>Kiểm thử và demo</t>
        </is>
      </c>
      <c r="D10" s="8" t="inlineStr">
        <is>
          <t>E2E, sửa lỗi, runbook, so sánh mentor – intern, trình bày cuối khoá</t>
        </is>
      </c>
      <c r="E10" s="8" t="inlineStr">
        <is>
          <t>Demo + bảng so sánh</t>
        </is>
      </c>
      <c r="F10" s="8" t="inlineStr">
        <is>
          <t>Mentor + Intern</t>
        </is>
      </c>
    </row>
    <row r="12">
      <c r="A12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6" customWidth="1" min="3" max="3"/>
    <col width="36" customWidth="1" min="4" max="4"/>
    <col width="12" customWidth="1" min="5" max="5"/>
    <col width="14" customWidth="1" min="6" max="6"/>
    <col width="18" customWidth="1" min="7" max="7"/>
    <col width="16" customWidth="1" min="8" max="8"/>
  </cols>
  <sheetData>
    <row r="1">
      <c r="A1" s="5" t="inlineStr">
        <is>
          <t>Tích hợp bên thứ ba</t>
        </is>
      </c>
    </row>
    <row r="2">
      <c r="A2" s="6" t="inlineStr">
        <is>
          <t>Nhà cung cấp lấy theo tài liệu phân tích</t>
        </is>
      </c>
    </row>
    <row r="3">
      <c r="A3" s="7" t="inlineStr">
        <is>
          <t>Nhóm</t>
        </is>
      </c>
      <c r="B3" s="7" t="inlineStr">
        <is>
          <t>Nhà cung cấp theo tài liệu</t>
        </is>
      </c>
      <c r="C3" s="7" t="inlineStr">
        <is>
          <t>Mức làm trong dự án</t>
        </is>
      </c>
      <c r="D3" s="7" t="inlineStr">
        <is>
          <t>Thủ tục cần có</t>
        </is>
      </c>
      <c r="E3" s="7" t="inlineStr">
        <is>
          <t>Chủ trì</t>
        </is>
      </c>
      <c r="F3" s="7" t="inlineStr">
        <is>
          <t>Cần xong trước</t>
        </is>
      </c>
      <c r="G3" s="7" t="inlineStr">
        <is>
          <t>Chi phí vận hành</t>
        </is>
      </c>
      <c r="H3" s="7" t="inlineStr">
        <is>
          <t>Trạng thái hồ sơ</t>
        </is>
      </c>
    </row>
    <row r="4">
      <c r="A4" s="8" t="inlineStr">
        <is>
          <t>Thanh toán</t>
        </is>
      </c>
      <c r="B4" s="8" t="inlineStr">
        <is>
          <t>Stripe (theo tài liệu intern)</t>
        </is>
      </c>
      <c r="C4" s="8" t="inlineStr">
        <is>
          <t>Adapter: cổng giả lập mặc định, Stripe Checkout + webhook khi có khoá test</t>
        </is>
      </c>
      <c r="D4" s="8" t="inlineStr">
        <is>
          <t>Tài khoản Stripe test, webhook secret</t>
        </is>
      </c>
      <c r="E4" s="8" t="inlineStr">
        <is>
          <t>Mentor</t>
        </is>
      </c>
      <c r="F4" s="8" t="inlineStr">
        <is>
          <t>Mức 1 (giả lập) · Mức 3 (thật)</t>
        </is>
      </c>
      <c r="G4" s="8" t="inlineStr">
        <is>
          <t>Phí theo giao dịch</t>
        </is>
      </c>
      <c r="H4" s="8" t="inlineStr">
        <is>
          <t>Chưa bắt đầu</t>
        </is>
      </c>
    </row>
    <row r="5">
      <c r="A5" s="8" t="inlineStr">
        <is>
          <t>Email</t>
        </is>
      </c>
      <c r="B5" s="8" t="inlineStr">
        <is>
          <t>SMTP / Resend / SES</t>
        </is>
      </c>
      <c r="C5" s="8" t="inlineStr">
        <is>
          <t>Adapter gửi mail, mặc định ghi log</t>
        </is>
      </c>
      <c r="D5" s="8" t="inlineStr">
        <is>
          <t>Tài khoản gửi mail</t>
        </is>
      </c>
      <c r="E5" s="8" t="inlineStr">
        <is>
          <t>Mentor</t>
        </is>
      </c>
      <c r="F5" s="8" t="inlineStr">
        <is>
          <t>Mức 2</t>
        </is>
      </c>
      <c r="G5" s="8" t="inlineStr">
        <is>
          <t>Theo số mail</t>
        </is>
      </c>
      <c r="H5" s="8" t="inlineStr">
        <is>
          <t>Chưa bắt đầu</t>
        </is>
      </c>
    </row>
    <row r="6">
      <c r="A6" s="8" t="inlineStr">
        <is>
          <t>Lưu ảnh</t>
        </is>
      </c>
      <c r="B6" s="8" t="inlineStr">
        <is>
          <t>Cloudflare R2 (theo tài liệu intern)</t>
        </is>
      </c>
      <c r="C6" s="8" t="inlineStr">
        <is>
          <t>Adapter storage, mặc định lưu cục bộ trong container</t>
        </is>
      </c>
      <c r="D6" s="8" t="inlineStr">
        <is>
          <t>Bucket + khoá R2</t>
        </is>
      </c>
      <c r="E6" s="8" t="inlineStr">
        <is>
          <t>Mentor</t>
        </is>
      </c>
      <c r="F6" s="8" t="inlineStr">
        <is>
          <t>Mức 3</t>
        </is>
      </c>
      <c r="G6" s="8" t="inlineStr">
        <is>
          <t>Theo dung lượng</t>
        </is>
      </c>
      <c r="H6" s="8" t="inlineStr">
        <is>
          <t>Chưa bắt đầu</t>
        </is>
      </c>
    </row>
    <row r="8">
      <c r="A8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4" customWidth="1" min="4" max="4"/>
    <col width="14" customWidth="1" min="5" max="5"/>
    <col width="30" customWidth="1" min="6" max="6"/>
    <col width="16" customWidth="1" min="7" max="7"/>
  </cols>
  <sheetData>
    <row r="1">
      <c r="A1" s="5" t="inlineStr">
        <is>
          <t>Chuẩn bị và phụ thuộc</t>
        </is>
      </c>
    </row>
    <row r="2">
      <c r="A2" s="6" t="inlineStr">
        <is>
          <t>Những việc phải có trước khi đội phát triển dùng được</t>
        </is>
      </c>
    </row>
    <row r="3">
      <c r="A3" s="7" t="inlineStr">
        <is>
          <t>Mã</t>
        </is>
      </c>
      <c r="B3" s="7" t="inlineStr">
        <is>
          <t>Loại</t>
        </is>
      </c>
      <c r="C3" s="7" t="inlineStr">
        <is>
          <t>Nội dung</t>
        </is>
      </c>
      <c r="D3" s="7" t="inlineStr">
        <is>
          <t>Chủ trì</t>
        </is>
      </c>
      <c r="E3" s="7" t="inlineStr">
        <is>
          <t>Hạn</t>
        </is>
      </c>
      <c r="F3" s="7" t="inlineStr">
        <is>
          <t>Chặn việc gì</t>
        </is>
      </c>
      <c r="G3" s="7" t="inlineStr">
        <is>
          <t>Trạng thái</t>
        </is>
      </c>
    </row>
    <row r="4">
      <c r="A4" s="8" t="inlineStr">
        <is>
          <t>PT-01</t>
        </is>
      </c>
      <c r="B4" s="8" t="inlineStr">
        <is>
          <t>Môi trường</t>
        </is>
      </c>
      <c r="C4" s="8" t="inlineStr">
        <is>
          <t>Docker Desktop chạy trên máy dựng POC</t>
        </is>
      </c>
      <c r="D4" s="8" t="inlineStr">
        <is>
          <t>User</t>
        </is>
      </c>
      <c r="E4" s="8" t="inlineStr">
        <is>
          <t>D2</t>
        </is>
      </c>
      <c r="F4" s="8" t="inlineStr">
        <is>
          <t>Toàn bộ Phase 3</t>
        </is>
      </c>
      <c r="G4" s="8" t="inlineStr">
        <is>
          <t>Chưa xong</t>
        </is>
      </c>
    </row>
    <row r="5">
      <c r="A5" s="8" t="inlineStr">
        <is>
          <t>PT-02</t>
        </is>
      </c>
      <c r="B5" s="8" t="inlineStr">
        <is>
          <t>Quyền</t>
        </is>
      </c>
      <c r="C5" s="8" t="inlineStr">
        <is>
          <t>Quyền push repo GitHub 689Cloud-LLC hoặc repo poc-mentor riêng</t>
        </is>
      </c>
      <c r="D5" s="8" t="inlineStr">
        <is>
          <t>User</t>
        </is>
      </c>
      <c r="E5" s="8" t="inlineStr">
        <is>
          <t>D3</t>
        </is>
      </c>
      <c r="F5" s="8" t="inlineStr">
        <is>
          <t>Bàn giao mã nguồn</t>
        </is>
      </c>
      <c r="G5" s="8" t="inlineStr">
        <is>
          <t>Chưa xong</t>
        </is>
      </c>
    </row>
    <row r="6">
      <c r="A6" s="8" t="inlineStr">
        <is>
          <t>PT-03</t>
        </is>
      </c>
      <c r="B6" s="8" t="inlineStr">
        <is>
          <t>Tài liệu</t>
        </is>
      </c>
      <c r="C6" s="8" t="inlineStr">
        <is>
          <t>Chốt các quyết định về gap trong SRS intern (timeout, chính sách huỷ, enum trạng thái)</t>
        </is>
      </c>
      <c r="D6" s="8" t="inlineStr">
        <is>
          <t>Mentor</t>
        </is>
      </c>
      <c r="E6" s="8" t="inlineStr">
        <is>
          <t>D2</t>
        </is>
      </c>
      <c r="F6" s="8" t="inlineStr">
        <is>
          <t>State machine, job hết hạn</t>
        </is>
      </c>
      <c r="G6" s="8" t="inlineStr">
        <is>
          <t>Chưa xong</t>
        </is>
      </c>
    </row>
    <row r="7">
      <c r="A7" s="8" t="inlineStr">
        <is>
          <t>PT-04</t>
        </is>
      </c>
      <c r="B7" s="8" t="inlineStr">
        <is>
          <t>Tài khoản</t>
        </is>
      </c>
      <c r="C7" s="8" t="inlineStr">
        <is>
          <t>Khoá Stripe test (tuỳ chọn)</t>
        </is>
      </c>
      <c r="D7" s="8" t="inlineStr">
        <is>
          <t>User</t>
        </is>
      </c>
      <c r="E7" s="8" t="inlineStr">
        <is>
          <t>Mức 3</t>
        </is>
      </c>
      <c r="F7" s="8" t="inlineStr">
        <is>
          <t>Thanh toán thật</t>
        </is>
      </c>
      <c r="G7" s="8" t="inlineStr">
        <is>
          <t>Chưa cần</t>
        </is>
      </c>
    </row>
    <row r="9">
      <c r="A9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</cols>
  <sheetData>
    <row r="1">
      <c r="A1" s="5" t="inlineStr">
        <is>
          <t>Lịch 12 tuần theo giai đoạn</t>
        </is>
      </c>
    </row>
    <row r="2">
      <c r="A2" s="6" t="inlineStr">
        <is>
          <t>Tuần tương đối T1..Tn vì chưa có ngày khởi động</t>
        </is>
      </c>
    </row>
    <row r="3">
      <c r="A3" s="7" t="inlineStr">
        <is>
          <t>Hạng mục</t>
        </is>
      </c>
      <c r="B3" s="7" t="inlineStr">
        <is>
          <t>Chủ trì</t>
        </is>
      </c>
      <c r="C3" s="7" t="inlineStr">
        <is>
          <t>T1</t>
        </is>
      </c>
      <c r="D3" s="7" t="inlineStr">
        <is>
          <t>T2</t>
        </is>
      </c>
      <c r="E3" s="7" t="inlineStr">
        <is>
          <t>T3</t>
        </is>
      </c>
      <c r="F3" s="7" t="inlineStr">
        <is>
          <t>T4</t>
        </is>
      </c>
      <c r="G3" s="7" t="inlineStr">
        <is>
          <t>T5</t>
        </is>
      </c>
      <c r="H3" s="7" t="inlineStr">
        <is>
          <t>T6</t>
        </is>
      </c>
      <c r="I3" s="7" t="inlineStr">
        <is>
          <t>T7</t>
        </is>
      </c>
      <c r="J3" s="7" t="inlineStr">
        <is>
          <t>T8</t>
        </is>
      </c>
      <c r="K3" s="7" t="inlineStr">
        <is>
          <t>T9</t>
        </is>
      </c>
      <c r="L3" s="7" t="inlineStr">
        <is>
          <t>T10</t>
        </is>
      </c>
      <c r="M3" s="7" t="inlineStr">
        <is>
          <t>T11</t>
        </is>
      </c>
      <c r="N3" s="7" t="inlineStr">
        <is>
          <t>T12</t>
        </is>
      </c>
    </row>
    <row r="4">
      <c r="A4" s="8" t="inlineStr">
        <is>
          <t>0. Tài liệu và chốt phạm vi</t>
        </is>
      </c>
      <c r="B4" s="8" t="inlineStr">
        <is>
          <t>Mentor + Intern</t>
        </is>
      </c>
      <c r="C4" s="13" t="inlineStr"/>
      <c r="D4" s="13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</row>
    <row r="5">
      <c r="A5" s="8" t="inlineStr">
        <is>
          <t>1. UX/UI và nền tảng kỹ thuật</t>
        </is>
      </c>
      <c r="B5" s="8" t="inlineStr">
        <is>
          <t>Mentor</t>
        </is>
      </c>
      <c r="C5" s="8" t="inlineStr"/>
      <c r="D5" s="8" t="inlineStr"/>
      <c r="E5" s="14" t="inlineStr"/>
      <c r="F5" s="14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</row>
    <row r="6">
      <c r="A6" s="8" t="inlineStr">
        <is>
          <t>2. Phát triển S1–S3</t>
        </is>
      </c>
      <c r="B6" s="8" t="inlineStr">
        <is>
          <t>Mentor</t>
        </is>
      </c>
      <c r="C6" s="8" t="inlineStr"/>
      <c r="D6" s="8" t="inlineStr"/>
      <c r="E6" s="8" t="inlineStr"/>
      <c r="F6" s="8" t="inlineStr"/>
      <c r="G6" s="14" t="inlineStr"/>
      <c r="H6" s="14" t="inlineStr"/>
      <c r="I6" s="14" t="inlineStr"/>
      <c r="J6" s="14" t="inlineStr"/>
      <c r="K6" s="14" t="inlineStr"/>
      <c r="L6" s="14" t="inlineStr"/>
      <c r="M6" s="8" t="inlineStr"/>
      <c r="N6" s="8" t="inlineStr"/>
    </row>
    <row r="7">
      <c r="A7" s="8" t="inlineStr">
        <is>
          <t>POC mentor (1 tuần)</t>
        </is>
      </c>
      <c r="B7" s="8" t="inlineStr">
        <is>
          <t>Mentor</t>
        </is>
      </c>
      <c r="C7" s="8" t="inlineStr"/>
      <c r="D7" s="8" t="inlineStr"/>
      <c r="E7" s="15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</row>
    <row r="8">
      <c r="A8" s="8" t="inlineStr">
        <is>
          <t>Intern phát triển bản của mình</t>
        </is>
      </c>
      <c r="B8" s="8" t="inlineStr">
        <is>
          <t>Intern</t>
        </is>
      </c>
      <c r="C8" s="8" t="inlineStr"/>
      <c r="D8" s="8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8" t="inlineStr"/>
      <c r="N8" s="8" t="inlineStr"/>
    </row>
    <row r="9">
      <c r="A9" s="8" t="inlineStr">
        <is>
          <t>3. Kiểm thử và demo cuối khoá</t>
        </is>
      </c>
      <c r="B9" s="8" t="inlineStr">
        <is>
          <t>Mentor + Intern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14" t="inlineStr"/>
      <c r="N9" s="14" t="inlineStr"/>
    </row>
    <row r="10">
      <c r="A10" s="8" t="inlineStr">
        <is>
          <t>Cổng duyệt</t>
        </is>
      </c>
      <c r="B10" s="8" t="inlineStr"/>
      <c r="C10" s="8" t="inlineStr"/>
      <c r="D10" s="8" t="inlineStr">
        <is>
          <t>◆</t>
        </is>
      </c>
      <c r="E10" s="8" t="inlineStr"/>
      <c r="F10" s="8" t="inlineStr">
        <is>
          <t>◆</t>
        </is>
      </c>
      <c r="G10" s="8" t="inlineStr"/>
      <c r="H10" s="8" t="inlineStr"/>
      <c r="I10" s="8" t="inlineStr"/>
      <c r="J10" s="8" t="inlineStr"/>
      <c r="K10" s="8" t="inlineStr"/>
      <c r="L10" s="8" t="inlineStr">
        <is>
          <t>◆</t>
        </is>
      </c>
      <c r="M10" s="8" t="inlineStr"/>
      <c r="N10" s="8" t="inlineStr">
        <is>
          <t>◆</t>
        </is>
      </c>
    </row>
    <row r="12">
      <c r="A12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22" customWidth="1" min="8" max="8"/>
    <col width="16" customWidth="1" min="9" max="9"/>
    <col width="16" customWidth="1" min="10" max="10"/>
  </cols>
  <sheetData>
    <row r="1">
      <c r="A1" s="5" t="inlineStr">
        <is>
          <t>Khối lượng và chi phí</t>
        </is>
      </c>
    </row>
    <row r="2">
      <c r="A2" t="inlineStr">
        <is>
          <t>Ô vàng là tham số sửa được — sửa lương hoặc hệ số thì chi phí tự tính lại</t>
        </is>
      </c>
    </row>
    <row r="4">
      <c r="A4" s="16" t="inlineStr">
        <is>
          <t>Tham số</t>
        </is>
      </c>
      <c r="B4" s="16" t="inlineStr">
        <is>
          <t>Giá trị</t>
        </is>
      </c>
      <c r="C4" s="16" t="inlineStr">
        <is>
          <t>Ghi chú</t>
        </is>
      </c>
    </row>
    <row r="5">
      <c r="A5" t="inlineStr">
        <is>
          <t>Ngày công mỗi người mỗi tháng</t>
        </is>
      </c>
      <c r="B5" s="17" t="n">
        <v>22</v>
      </c>
      <c r="C5" t="inlineStr">
        <is>
          <t>5 ngày/tuần, đã trừ thứ Bảy và Chủ nhật</t>
        </is>
      </c>
    </row>
    <row r="6">
      <c r="A6" t="inlineStr">
        <is>
          <t>Hệ số giá thành</t>
        </is>
      </c>
      <c r="B6" s="17" t="n">
        <v>1.35</v>
      </c>
      <c r="C6" t="inlineStr">
        <is>
          <t>Lương gross × hệ số = chi phí thật của một người</t>
        </is>
      </c>
    </row>
    <row r="7">
      <c r="A7" t="inlineStr">
        <is>
          <t>Hệ số quy đổi khối lượng</t>
        </is>
      </c>
      <c r="B7" s="17" t="n">
        <v>1</v>
      </c>
      <c r="C7" t="inlineStr">
        <is>
          <t>1,0 vì khối lượng đã là ngày làm việc thật</t>
        </is>
      </c>
    </row>
    <row r="8">
      <c r="A8" t="inlineStr">
        <is>
          <t>Công cụ, hạ tầng và giấy phép cho cả dự án (triệu)</t>
        </is>
      </c>
      <c r="B8" s="17" t="n">
        <v>0</v>
      </c>
      <c r="C8" t="inlineStr">
        <is>
          <t>Tính một lần cho cả dự án</t>
        </is>
      </c>
    </row>
    <row r="10">
      <c r="A10" s="16" t="inlineStr">
        <is>
          <t>Vai trò</t>
        </is>
      </c>
      <c r="B10" s="16" t="inlineStr">
        <is>
          <t>Lương gross (triệu/tháng)</t>
        </is>
      </c>
      <c r="C10" s="16" t="inlineStr">
        <is>
          <t>Chi phí tháng (triệu)</t>
        </is>
      </c>
      <c r="D10" s="16" t="inlineStr">
        <is>
          <t>Đơn giá ngày (triệu)</t>
        </is>
      </c>
      <c r="E10" s="16" t="inlineStr">
        <is>
          <t>Ngày công</t>
        </is>
      </c>
      <c r="F10" s="16" t="inlineStr">
        <is>
          <t>Ngày công</t>
        </is>
      </c>
      <c r="G10" s="16" t="inlineStr">
        <is>
          <t>Ngày công</t>
        </is>
      </c>
      <c r="H10" s="16" t="inlineStr">
        <is>
          <t>Chi phí (triệu)</t>
        </is>
      </c>
    </row>
    <row r="11">
      <c r="A11" t="inlineStr">
        <is>
          <t>BE</t>
        </is>
      </c>
      <c r="B11" s="17" t="n">
        <v>28</v>
      </c>
      <c r="C11">
        <f>B11*$B$6</f>
        <v/>
      </c>
      <c r="D11">
        <f>C11/$B$5</f>
        <v/>
      </c>
      <c r="E11" t="n">
        <v>32.5</v>
      </c>
      <c r="F11" t="n">
        <v>17</v>
      </c>
      <c r="G11" t="n">
        <v>4</v>
      </c>
      <c r="H11">
        <f>SUM(E11:G11)*D11*$B$7</f>
        <v/>
      </c>
    </row>
    <row r="12">
      <c r="A12" t="inlineStr">
        <is>
          <t>FE</t>
        </is>
      </c>
      <c r="B12" s="17" t="n">
        <v>25</v>
      </c>
      <c r="C12">
        <f>B12*$B$6</f>
        <v/>
      </c>
      <c r="D12">
        <f>C12/$B$5</f>
        <v/>
      </c>
      <c r="E12" t="n">
        <v>18.5</v>
      </c>
      <c r="F12" t="n">
        <v>9.5</v>
      </c>
      <c r="G12" t="n">
        <v>0</v>
      </c>
      <c r="H12">
        <f>SUM(E12:G12)*D12*$B$7</f>
        <v/>
      </c>
    </row>
    <row r="13">
      <c r="A13" t="inlineStr">
        <is>
          <t>AI</t>
        </is>
      </c>
      <c r="B13" s="17" t="n">
        <v>30</v>
      </c>
      <c r="C13">
        <f>B13*$B$6</f>
        <v/>
      </c>
      <c r="D13">
        <f>C13/$B$5</f>
        <v/>
      </c>
      <c r="E13" t="n">
        <v>0</v>
      </c>
      <c r="F13" t="n">
        <v>0</v>
      </c>
      <c r="G13" t="n">
        <v>0</v>
      </c>
      <c r="H13">
        <f>SUM(E13:G13)*D13*$B$7</f>
        <v/>
      </c>
    </row>
    <row r="14">
      <c r="A14" t="inlineStr">
        <is>
          <t>DevOps</t>
        </is>
      </c>
      <c r="B14" s="17" t="n">
        <v>28</v>
      </c>
      <c r="C14">
        <f>B14*$B$6</f>
        <v/>
      </c>
      <c r="D14">
        <f>C14/$B$5</f>
        <v/>
      </c>
      <c r="E14" t="n">
        <v>2.5</v>
      </c>
      <c r="F14" t="n">
        <v>2</v>
      </c>
      <c r="G14" t="n">
        <v>0</v>
      </c>
      <c r="H14">
        <f>SUM(E14:G14)*D14*$B$7</f>
        <v/>
      </c>
    </row>
    <row r="15">
      <c r="A15" t="inlineStr">
        <is>
          <t>PM</t>
        </is>
      </c>
      <c r="B15" s="17" t="n">
        <v>30</v>
      </c>
      <c r="C15">
        <f>B15*$B$6</f>
        <v/>
      </c>
      <c r="D15">
        <f>C15/$B$5</f>
        <v/>
      </c>
      <c r="E15" t="n">
        <v>6</v>
      </c>
      <c r="F15" t="n">
        <v>0</v>
      </c>
      <c r="G15" t="n">
        <v>1</v>
      </c>
      <c r="H15">
        <f>SUM(E15:G15)*D15*$B$7</f>
        <v/>
      </c>
    </row>
    <row r="16">
      <c r="A16" t="inlineStr">
        <is>
          <t>Design</t>
        </is>
      </c>
      <c r="B16" s="17" t="n">
        <v>22</v>
      </c>
      <c r="C16">
        <f>B16*$B$6</f>
        <v/>
      </c>
      <c r="D16">
        <f>C16/$B$5</f>
        <v/>
      </c>
      <c r="E16" t="n">
        <v>0</v>
      </c>
      <c r="F16" t="n">
        <v>0</v>
      </c>
      <c r="G16" t="n">
        <v>0</v>
      </c>
      <c r="H16">
        <f>SUM(E16:G16)*D16*$B$7</f>
        <v/>
      </c>
    </row>
    <row r="17">
      <c r="A17" t="inlineStr">
        <is>
          <t>Tech Lead</t>
        </is>
      </c>
      <c r="B17" s="17" t="n">
        <v>35</v>
      </c>
      <c r="C17">
        <f>B17*$B$6</f>
        <v/>
      </c>
      <c r="D17">
        <f>C17/$B$5</f>
        <v/>
      </c>
      <c r="E17" t="n">
        <v>0</v>
      </c>
      <c r="F17" t="n">
        <v>0</v>
      </c>
      <c r="G17" t="n">
        <v>0</v>
      </c>
      <c r="H17">
        <f>SUM(E17:G17)*D17*$B$7</f>
        <v/>
      </c>
    </row>
    <row r="18">
      <c r="A18" t="inlineStr">
        <is>
          <t>BA</t>
        </is>
      </c>
      <c r="B18" s="17" t="n">
        <v>28</v>
      </c>
      <c r="C18">
        <f>B18*$B$6</f>
        <v/>
      </c>
      <c r="D18">
        <f>C18/$B$5</f>
        <v/>
      </c>
      <c r="E18" t="n">
        <v>3</v>
      </c>
      <c r="F18" t="n">
        <v>0</v>
      </c>
      <c r="G18" t="n">
        <v>0</v>
      </c>
      <c r="H18">
        <f>SUM(E18:G18)*D18*$B$7</f>
        <v/>
      </c>
    </row>
    <row r="19">
      <c r="A19" t="inlineStr">
        <is>
          <t>QC</t>
        </is>
      </c>
      <c r="B19" s="17" t="n">
        <v>28</v>
      </c>
      <c r="C19">
        <f>B19*$B$6</f>
        <v/>
      </c>
      <c r="D19">
        <f>C19/$B$5</f>
        <v/>
      </c>
      <c r="E19" t="n">
        <v>22.5</v>
      </c>
      <c r="F19" t="n">
        <v>11</v>
      </c>
      <c r="G19" t="n">
        <v>3</v>
      </c>
      <c r="H19">
        <f>SUM(E19:G19)*D19*$B$7</f>
        <v/>
      </c>
    </row>
    <row r="20">
      <c r="A20" s="2" t="inlineStr">
        <is>
          <t>Cộng</t>
        </is>
      </c>
      <c r="E20">
        <f>SUM(E11:E19)</f>
        <v/>
      </c>
      <c r="F20">
        <f>SUM(F11:F19)</f>
        <v/>
      </c>
      <c r="G20">
        <f>SUM(G11:G19)</f>
        <v/>
      </c>
      <c r="H20">
        <f>SUM(H11:H19)</f>
        <v/>
      </c>
    </row>
    <row r="22">
      <c r="A22" s="18" t="inlineStr">
        <is>
          <t>Tổng hợp ước lượng công</t>
        </is>
      </c>
    </row>
    <row r="23">
      <c r="A23" s="16" t="inlineStr">
        <is>
          <t>Phạm vi</t>
        </is>
      </c>
      <c r="B23" s="16" t="inlineStr">
        <is>
          <t>Ghi chú</t>
        </is>
      </c>
      <c r="C23" s="16" t="inlineStr">
        <is>
          <t>Khối lượng TVT (ngày)</t>
        </is>
      </c>
      <c r="D23" s="16" t="inlineStr">
        <is>
          <t>Khối lượng khách: BA và QC (ngày)</t>
        </is>
      </c>
      <c r="E23" s="16" t="inlineStr">
        <is>
          <t>Thời gian (tuần)</t>
        </is>
      </c>
      <c r="F23" s="16" t="inlineStr">
        <is>
          <t>Chi phí tính từ khối lượng (triệu)</t>
        </is>
      </c>
    </row>
    <row r="24">
      <c r="A24" t="inlineStr">
        <is>
          <t>Mức 1</t>
        </is>
      </c>
      <c r="B24" s="3" t="inlineStr">
        <is>
          <t>Lõi — POC mentor</t>
        </is>
      </c>
      <c r="C24">
        <f>SUM(E$11:E$19)</f>
        <v/>
      </c>
      <c r="D24" t="n">
        <v>0</v>
      </c>
      <c r="E24" t="inlineStr">
        <is>
          <t>6</t>
        </is>
      </c>
      <c r="F24">
        <f>(SUMPRODUCT($D$11:$D$19,E$11:E$19))*$B$7+$B$8</f>
        <v/>
      </c>
    </row>
    <row r="25">
      <c r="A25" t="inlineStr">
        <is>
          <t>Mức 2</t>
        </is>
      </c>
      <c r="B25" s="3" t="inlineStr">
        <is>
          <t>Đủ theo SRS</t>
        </is>
      </c>
      <c r="C25">
        <f>SUM(E$11:E$19)+SUM(F$11:F$19)</f>
        <v/>
      </c>
      <c r="D25" t="n">
        <v>0</v>
      </c>
      <c r="E25" t="inlineStr">
        <is>
          <t>8</t>
        </is>
      </c>
      <c r="F25">
        <f>(SUMPRODUCT($D$11:$D$19,E$11:E$19)+SUMPRODUCT($D$11:$D$19,F$11:F$19))*$B$7+$B$8</f>
        <v/>
      </c>
    </row>
    <row r="26">
      <c r="A26" t="inlineStr">
        <is>
          <t>Mức 3</t>
        </is>
      </c>
      <c r="B26" s="3" t="inlineStr">
        <is>
          <t>Mở rộng</t>
        </is>
      </c>
      <c r="C26">
        <f>SUM(E$11:E$19)+SUM(F$11:F$19)+SUM(G$11:G$19)</f>
        <v/>
      </c>
      <c r="D26" t="n">
        <v>0</v>
      </c>
      <c r="E26" t="inlineStr">
        <is>
          <t>10+</t>
        </is>
      </c>
      <c r="F26">
        <f>(SUMPRODUCT($D$11:$D$19,E$11:E$19)+SUMPRODUCT($D$11:$D$19,F$11:F$19)+SUMPRODUCT($D$11:$D$19,G$11:G$19))*$B$7+$B$8</f>
        <v/>
      </c>
    </row>
    <row r="28">
      <c r="A28" s="2" t="inlineStr">
        <is>
          <t>Cộng thêm</t>
        </is>
      </c>
    </row>
    <row r="29">
      <c r="A29" t="inlineStr">
        <is>
          <t>Bật Stripe thật (Checkout + webhook)</t>
        </is>
      </c>
      <c r="B29" t="inlineStr"/>
      <c r="C29" t="inlineStr">
        <is>
          <t>3</t>
        </is>
      </c>
      <c r="D29" t="inlineStr"/>
      <c r="E29" t="inlineStr">
        <is>
          <t>3</t>
        </is>
      </c>
      <c r="F29" t="inlineStr"/>
    </row>
    <row r="30">
      <c r="A30" t="inlineStr">
        <is>
          <t>Google OAuth</t>
        </is>
      </c>
      <c r="B30" t="inlineStr"/>
      <c r="C30" t="inlineStr">
        <is>
          <t>2.5</t>
        </is>
      </c>
      <c r="D30" t="inlineStr"/>
      <c r="E30" t="inlineStr">
        <is>
          <t>3</t>
        </is>
      </c>
      <c r="F30" t="inlineStr"/>
    </row>
    <row r="31">
      <c r="A31" t="inlineStr">
        <is>
          <t>Ảnh lên Cloudflare R2</t>
        </is>
      </c>
      <c r="B31" t="inlineStr"/>
      <c r="C31" t="inlineStr">
        <is>
          <t>3</t>
        </is>
      </c>
      <c r="D31" t="inlineStr"/>
      <c r="E31" t="inlineStr">
        <is>
          <t>3</t>
        </is>
      </c>
      <c r="F31" t="inlineStr"/>
    </row>
    <row r="32">
      <c r="A32" t="inlineStr">
        <is>
          <t>Email giao dịch</t>
        </is>
      </c>
      <c r="B32" t="inlineStr"/>
      <c r="C32" t="inlineStr">
        <is>
          <t>2.5</t>
        </is>
      </c>
      <c r="D32" t="inlineStr"/>
      <c r="E32" t="inlineStr">
        <is>
          <t>2</t>
        </is>
      </c>
      <c r="F32" t="inlineStr"/>
    </row>
    <row r="34">
      <c r="A34" s="19" t="inlineStr">
        <is>
          <t>Chi phí ở đây là ước lượng công nội bộ để cân đối nguồn lực, không phải báo giá.</t>
        </is>
      </c>
    </row>
    <row r="36">
      <c r="A36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32" customWidth="1" min="4" max="4"/>
    <col width="50" customWidth="1" min="5" max="5"/>
    <col width="14" customWidth="1" min="6" max="6"/>
    <col width="14" customWidth="1" min="7" max="7"/>
  </cols>
  <sheetData>
    <row r="1">
      <c r="A1" s="5" t="inlineStr">
        <is>
          <t>Rủi ro và cách giảm thiểu</t>
        </is>
      </c>
    </row>
    <row r="2">
      <c r="A2" s="6" t="inlineStr">
        <is>
          <t>Rủi ro lấy từ tài liệu phân tích và phần TVT bổ sung</t>
        </is>
      </c>
    </row>
    <row r="3">
      <c r="A3" s="7" t="inlineStr">
        <is>
          <t>Mã</t>
        </is>
      </c>
      <c r="B3" s="7" t="inlineStr">
        <is>
          <t>Rủi ro</t>
        </is>
      </c>
      <c r="C3" s="7" t="inlineStr">
        <is>
          <t>Nguồn</t>
        </is>
      </c>
      <c r="D3" s="7" t="inlineStr">
        <is>
          <t>Ảnh hưởng nếu xảy ra</t>
        </is>
      </c>
      <c r="E3" s="7" t="inlineStr">
        <is>
          <t>Cách giảm thiểu</t>
        </is>
      </c>
      <c r="F3" s="7" t="inlineStr">
        <is>
          <t>Chủ trì</t>
        </is>
      </c>
      <c r="G3" s="7" t="inlineStr">
        <is>
          <t>Trạng thái</t>
        </is>
      </c>
    </row>
    <row r="4">
      <c r="A4" s="8" t="inlineStr">
        <is>
          <t>RR-01</t>
        </is>
      </c>
      <c r="B4" s="8" t="inlineStr">
        <is>
          <t>Hai khách đặt trùng chỗ cuối</t>
        </is>
      </c>
      <c r="C4" s="8" t="inlineStr">
        <is>
          <t>SRS 8.1, 8.8</t>
        </is>
      </c>
      <c r="D4" s="8" t="inlineStr">
        <is>
          <t>Oversell, mất uy tín</t>
        </is>
      </c>
      <c r="E4" s="8" t="inlineStr">
        <is>
          <t>Khoá dòng departure trong transaction, cột booked_seats, test đồng thời</t>
        </is>
      </c>
      <c r="F4" s="8" t="inlineStr">
        <is>
          <t>Mentor BE</t>
        </is>
      </c>
      <c r="G4" s="8" t="inlineStr">
        <is>
          <t>Chưa xảy ra</t>
        </is>
      </c>
    </row>
    <row r="5">
      <c r="A5" s="8" t="inlineStr">
        <is>
          <t>RR-02</t>
        </is>
      </c>
      <c r="B5" s="8" t="inlineStr">
        <is>
          <t>Booking chờ thanh toán chiếm chỗ mãi</t>
        </is>
      </c>
      <c r="C5" s="8" t="inlineStr">
        <is>
          <t>SRS 4.7 A2</t>
        </is>
      </c>
      <c r="D5" s="8" t="inlineStr">
        <is>
          <t>Chỗ ảo, doanh thu giảm</t>
        </is>
      </c>
      <c r="E5" s="8" t="inlineStr">
        <is>
          <t>expires_at + job huỷ và nhả chỗ</t>
        </is>
      </c>
      <c r="F5" s="8" t="inlineStr">
        <is>
          <t>Mentor BE</t>
        </is>
      </c>
      <c r="G5" s="8" t="inlineStr">
        <is>
          <t>Chưa xảy ra</t>
        </is>
      </c>
    </row>
    <row r="6">
      <c r="A6" s="8" t="inlineStr">
        <is>
          <t>RR-03</t>
        </is>
      </c>
      <c r="B6" s="8" t="inlineStr">
        <is>
          <t>Webhook bị gửi trùng hoặc giả mạo</t>
        </is>
      </c>
      <c r="C6" s="8" t="inlineStr">
        <is>
          <t>Arch 1.4</t>
        </is>
      </c>
      <c r="D6" s="8" t="inlineStr">
        <is>
          <t>Ghi nhận PAID sai</t>
        </is>
      </c>
      <c r="E6" s="8" t="inlineStr">
        <is>
          <t>Ký HMAC, transaction_code UNIQUE, idempotent</t>
        </is>
      </c>
      <c r="F6" s="8" t="inlineStr">
        <is>
          <t>Mentor BE</t>
        </is>
      </c>
      <c r="G6" s="8" t="inlineStr">
        <is>
          <t>Chưa xảy ra</t>
        </is>
      </c>
    </row>
    <row r="7">
      <c r="A7" s="8" t="inlineStr">
        <is>
          <t>RR-04</t>
        </is>
      </c>
      <c r="B7" s="8" t="inlineStr">
        <is>
          <t>Tài liệu intern không nhất quán (enum, chính sách)</t>
        </is>
      </c>
      <c r="C7" s="8" t="inlineStr">
        <is>
          <t>Gap list</t>
        </is>
      </c>
      <c r="D7" s="8" t="inlineStr">
        <is>
          <t>Lệch giữa FE, BE, DB</t>
        </is>
      </c>
      <c r="E7" s="8" t="inlineStr">
        <is>
          <t>Chốt trong decisions.md, enum UPPER_SNAKE_CASE dùng chung</t>
        </is>
      </c>
      <c r="F7" s="8" t="inlineStr">
        <is>
          <t>Mentor</t>
        </is>
      </c>
      <c r="G7" s="8" t="inlineStr">
        <is>
          <t>Đang xử lý</t>
        </is>
      </c>
    </row>
    <row r="8">
      <c r="A8" s="8" t="inlineStr">
        <is>
          <t>RR-05</t>
        </is>
      </c>
      <c r="B8" s="8" t="inlineStr">
        <is>
          <t>Không đủ 1 tuần cho 2 POC full</t>
        </is>
      </c>
      <c r="C8" s="8" t="inlineStr">
        <is>
          <t>Kế hoạch</t>
        </is>
      </c>
      <c r="D8" s="8" t="inlineStr">
        <is>
          <t>Hotel không kịp</t>
        </is>
      </c>
      <c r="E8" s="8" t="inlineStr">
        <is>
          <t>Tour trước; Hotel hạ xuống HTML offline nếu cần</t>
        </is>
      </c>
      <c r="F8" s="8" t="inlineStr">
        <is>
          <t>Mentor</t>
        </is>
      </c>
      <c r="G8" s="8" t="inlineStr">
        <is>
          <t>Theo dõi</t>
        </is>
      </c>
    </row>
    <row r="10">
      <c r="A10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14" customWidth="1" min="4" max="4"/>
    <col width="44" customWidth="1" min="5" max="5"/>
    <col width="16" customWidth="1" min="6" max="6"/>
    <col width="12" customWidth="1" min="7" max="7"/>
    <col width="12" customWidth="1" min="8" max="8"/>
  </cols>
  <sheetData>
    <row r="1">
      <c r="A1" s="5" t="inlineStr">
        <is>
          <t>Tiêu chí nghiệm thu</t>
        </is>
      </c>
    </row>
    <row r="2">
      <c r="A2" s="6" t="inlineStr">
        <is>
          <t>Lấy theo tài liệu phân tích</t>
        </is>
      </c>
    </row>
    <row r="3">
      <c r="A3" s="7" t="inlineStr">
        <is>
          <t>Tiêu chí</t>
        </is>
      </c>
      <c r="B3" s="7" t="inlineStr">
        <is>
          <t>Mục tài liệu</t>
        </is>
      </c>
      <c r="C3" s="7" t="inlineStr">
        <is>
          <t>Mã chức năng liên quan</t>
        </is>
      </c>
      <c r="D3" s="7" t="inlineStr">
        <is>
          <t>Sẵn sàng kiểm thử từ</t>
        </is>
      </c>
      <c r="E3" s="7" t="inlineStr">
        <is>
          <t>Kịch bản kiểm thử</t>
        </is>
      </c>
      <c r="F3" s="7" t="inlineStr">
        <is>
          <t>Người kiểm thử</t>
        </is>
      </c>
      <c r="G3" s="7" t="inlineStr">
        <is>
          <t>Kết quả</t>
        </is>
      </c>
      <c r="H3" s="7" t="inlineStr">
        <is>
          <t>Ngày</t>
        </is>
      </c>
    </row>
    <row r="4">
      <c r="A4" s="8" t="inlineStr">
        <is>
          <t>Khách đăng ký, tìm tour, xem chi tiết, đặt 2 vé, thanh toán giả lập, thấy đơn CONFIRMED và hoá đơn</t>
        </is>
      </c>
      <c r="B4" s="8" t="inlineStr">
        <is>
          <t>SRS 4.1–4.7</t>
        </is>
      </c>
      <c r="C4" s="8" t="inlineStr">
        <is>
          <t>ACC-01..02, CAT-06..07, DEP-01, BK-01..04, PAY-01..02</t>
        </is>
      </c>
      <c r="D4" s="8" t="inlineStr">
        <is>
          <t>S2</t>
        </is>
      </c>
      <c r="E4" s="8" t="inlineStr">
        <is>
          <t>Chạy trọn trên Docker, E2E Playwright</t>
        </is>
      </c>
      <c r="F4" s="8" t="inlineStr">
        <is>
          <t>Mentor QC</t>
        </is>
      </c>
      <c r="G4" s="12" t="inlineStr"/>
      <c r="H4" s="12" t="inlineStr"/>
    </row>
    <row r="5">
      <c r="A5" s="8" t="inlineStr">
        <is>
          <t>10 yêu cầu đồng thời cho 1 chỗ cuối → đúng 1 thành công, 9 nhận 409</t>
        </is>
      </c>
      <c r="B5" s="8" t="inlineStr">
        <is>
          <t>SRS 8.1, 8.8</t>
        </is>
      </c>
      <c r="C5" s="8" t="inlineStr">
        <is>
          <t>BK-01</t>
        </is>
      </c>
      <c r="D5" s="8" t="inlineStr">
        <is>
          <t>S2</t>
        </is>
      </c>
      <c r="E5" s="8" t="inlineStr">
        <is>
          <t>Integration test Testcontainers</t>
        </is>
      </c>
      <c r="F5" s="8" t="inlineStr">
        <is>
          <t>Mentor QC</t>
        </is>
      </c>
      <c r="G5" s="12" t="inlineStr"/>
      <c r="H5" s="12" t="inlineStr"/>
    </row>
    <row r="6">
      <c r="A6" s="8" t="inlineStr">
        <is>
          <t>Booking PENDING quá 15 phút tự chuyển EXPIRED và chỗ được nhả</t>
        </is>
      </c>
      <c r="B6" s="8" t="inlineStr">
        <is>
          <t>BS</t>
        </is>
      </c>
      <c r="C6" s="8" t="inlineStr">
        <is>
          <t>BK-03</t>
        </is>
      </c>
      <c r="D6" s="8" t="inlineStr">
        <is>
          <t>S2</t>
        </is>
      </c>
      <c r="E6" s="8" t="inlineStr">
        <is>
          <t>Time travel bằng DEMO_TOOLS</t>
        </is>
      </c>
      <c r="F6" s="8" t="inlineStr">
        <is>
          <t>Mentor QC</t>
        </is>
      </c>
      <c r="G6" s="12" t="inlineStr"/>
      <c r="H6" s="12" t="inlineStr"/>
    </row>
    <row r="7">
      <c r="A7" s="8" t="inlineStr">
        <is>
          <t>Webhook sai chữ ký trả 401; gửi lại cùng transaction_code không tạo PAID lần hai</t>
        </is>
      </c>
      <c r="B7" s="8" t="inlineStr">
        <is>
          <t>API 4.3</t>
        </is>
      </c>
      <c r="C7" s="8" t="inlineStr">
        <is>
          <t>PAY-02</t>
        </is>
      </c>
      <c r="D7" s="8" t="inlineStr">
        <is>
          <t>S2</t>
        </is>
      </c>
      <c r="E7" s="8" t="inlineStr">
        <is>
          <t>Integration test</t>
        </is>
      </c>
      <c r="F7" s="8" t="inlineStr">
        <is>
          <t>Mentor QC</t>
        </is>
      </c>
      <c r="G7" s="12" t="inlineStr"/>
      <c r="H7" s="12" t="inlineStr"/>
    </row>
    <row r="8">
      <c r="A8" s="8" t="inlineStr">
        <is>
          <t>HDV kết thúc tour → booking COMPLETED → khách đánh giá được, lần hai bị chặn</t>
        </is>
      </c>
      <c r="B8" s="8" t="inlineStr">
        <is>
          <t>SRS 3.1.3.2, 4.9</t>
        </is>
      </c>
      <c r="C8" s="8" t="inlineStr">
        <is>
          <t>GDE-02, REV-01</t>
        </is>
      </c>
      <c r="D8" s="8" t="inlineStr">
        <is>
          <t>S3</t>
        </is>
      </c>
      <c r="E8" s="8" t="inlineStr">
        <is>
          <t>E2E</t>
        </is>
      </c>
      <c r="F8" s="8" t="inlineStr">
        <is>
          <t>Mentor QC</t>
        </is>
      </c>
      <c r="G8" s="12" t="inlineStr"/>
      <c r="H8" s="12" t="inlineStr"/>
    </row>
    <row r="9">
      <c r="A9" s="8" t="inlineStr">
        <is>
          <t>Tour Manager tạo tour, lịch trình, đợt; admin khoá tài khoản; user bị chặn khi vào /admin</t>
        </is>
      </c>
      <c r="B9" s="8" t="inlineStr">
        <is>
          <t>SRS UC-TM, 7.1, 9.1</t>
        </is>
      </c>
      <c r="C9" s="8" t="inlineStr">
        <is>
          <t>CAT-03..04, DEP-01, ADM-01, ACC-05</t>
        </is>
      </c>
      <c r="D9" s="8" t="inlineStr">
        <is>
          <t>S1–S2</t>
        </is>
      </c>
      <c r="E9" s="8" t="inlineStr">
        <is>
          <t>E2E</t>
        </is>
      </c>
      <c r="F9" s="8" t="inlineStr">
        <is>
          <t>Mentor QC</t>
        </is>
      </c>
      <c r="G9" s="12" t="inlineStr"/>
      <c r="H9" s="12" t="inlineStr"/>
    </row>
    <row r="11">
      <c r="A11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50" customWidth="1" min="4" max="4"/>
    <col width="12" customWidth="1" min="5" max="5"/>
    <col width="12" customWidth="1" min="6" max="6"/>
    <col width="14" customWidth="1" min="7" max="7"/>
    <col width="30" customWidth="1" min="8" max="8"/>
  </cols>
  <sheetData>
    <row r="1">
      <c r="A1" s="5" t="inlineStr">
        <is>
          <t>Quyết định đã chốt và câu hỏi chờ khách</t>
        </is>
      </c>
    </row>
    <row r="2">
      <c r="A2" s="6" t="inlineStr">
        <is>
          <t>Cập nhật sau mỗi buổi làm việc</t>
        </is>
      </c>
    </row>
    <row r="3">
      <c r="A3" s="7" t="inlineStr">
        <is>
          <t>Mã</t>
        </is>
      </c>
      <c r="B3" s="7" t="inlineStr">
        <is>
          <t>Loại</t>
        </is>
      </c>
      <c r="C3" s="7" t="inlineStr">
        <is>
          <t>Nội dung</t>
        </is>
      </c>
      <c r="D3" s="7" t="inlineStr">
        <is>
          <t>Lựa chọn / đề xuất</t>
        </is>
      </c>
      <c r="E3" s="7" t="inlineStr">
        <is>
          <t>Chủ trì</t>
        </is>
      </c>
      <c r="F3" s="7" t="inlineStr">
        <is>
          <t>Hạn</t>
        </is>
      </c>
      <c r="G3" s="7" t="inlineStr">
        <is>
          <t>Trạng thái</t>
        </is>
      </c>
      <c r="H3" s="7" t="inlineStr">
        <is>
          <t>Trả lời của khách</t>
        </is>
      </c>
    </row>
    <row r="4">
      <c r="A4" s="8" t="inlineStr">
        <is>
          <t>D1</t>
        </is>
      </c>
      <c r="B4" s="8" t="inlineStr">
        <is>
          <t>Đã chốt</t>
        </is>
      </c>
      <c r="C4" s="8" t="inlineStr">
        <is>
          <t>Mức POC và stack</t>
        </is>
      </c>
      <c r="D4" s="8" t="inlineStr">
        <is>
          <t>Full-stack khớp stack intern: Spring Boot 3 + Next.js + MySQL 8 + Docker; Stripe qua adapter giả lập</t>
        </is>
      </c>
      <c r="E4" s="8" t="inlineStr">
        <is>
          <t>User</t>
        </is>
      </c>
      <c r="F4" s="8" t="inlineStr">
        <is>
          <t>23/09/2026</t>
        </is>
      </c>
      <c r="G4" s="8" t="inlineStr">
        <is>
          <t>Đã chốt</t>
        </is>
      </c>
      <c r="H4" s="12" t="inlineStr"/>
    </row>
    <row r="5">
      <c r="A5" s="8" t="inlineStr">
        <is>
          <t>D2</t>
        </is>
      </c>
      <c r="B5" s="8" t="inlineStr">
        <is>
          <t>Đã chốt</t>
        </is>
      </c>
      <c r="C5" s="8" t="inlineStr">
        <is>
          <t>Không báo giá</t>
        </is>
      </c>
      <c r="D5" s="8" t="inlineStr">
        <is>
          <t>POC nội bộ: Artifact không có gói/giá; Excel chỉ ngày công nội bộ</t>
        </is>
      </c>
      <c r="E5" s="8" t="inlineStr">
        <is>
          <t>User</t>
        </is>
      </c>
      <c r="F5" s="8" t="inlineStr">
        <is>
          <t>23/09/2026</t>
        </is>
      </c>
      <c r="G5" s="8" t="inlineStr">
        <is>
          <t>Đã chốt</t>
        </is>
      </c>
      <c r="H5" s="12" t="inlineStr"/>
    </row>
    <row r="6">
      <c r="A6" s="8" t="inlineStr">
        <is>
          <t>D3</t>
        </is>
      </c>
      <c r="B6" s="8" t="inlineStr">
        <is>
          <t>Đã chốt</t>
        </is>
      </c>
      <c r="C6" s="8" t="inlineStr">
        <is>
          <t>Mốc</t>
        </is>
      </c>
      <c r="D6" s="8" t="inlineStr">
        <is>
          <t>POC mentor trong 1 tuần; Tour trước, Hotel sau; Hotel chưa kịp thì hạ xuống demo HTML offline</t>
        </is>
      </c>
      <c r="E6" s="8" t="inlineStr">
        <is>
          <t>User</t>
        </is>
      </c>
      <c r="F6" s="8" t="inlineStr">
        <is>
          <t>23/09/2026</t>
        </is>
      </c>
      <c r="G6" s="8" t="inlineStr">
        <is>
          <t>Đã chốt</t>
        </is>
      </c>
      <c r="H6" s="12" t="inlineStr"/>
    </row>
    <row r="7">
      <c r="A7" s="8" t="inlineStr">
        <is>
          <t>D4</t>
        </is>
      </c>
      <c r="B7" s="8" t="inlineStr">
        <is>
          <t>Đã chốt</t>
        </is>
      </c>
      <c r="C7" s="8" t="inlineStr">
        <is>
          <t>Người duyệt</t>
        </is>
      </c>
      <c r="D7" s="8" t="inlineStr">
        <is>
          <t>Mentor lead TVT (user) duyệt Cổng 1, GATE 1, GATE 2</t>
        </is>
      </c>
      <c r="E7" s="8" t="inlineStr">
        <is>
          <t>User</t>
        </is>
      </c>
      <c r="F7" s="8" t="inlineStr">
        <is>
          <t>23/09/2026</t>
        </is>
      </c>
      <c r="G7" s="8" t="inlineStr">
        <is>
          <t>Đã chốt</t>
        </is>
      </c>
      <c r="H7" s="12" t="inlineStr"/>
    </row>
    <row r="8">
      <c r="A8" s="8" t="inlineStr">
        <is>
          <t>D5</t>
        </is>
      </c>
      <c r="B8" s="8" t="inlineStr">
        <is>
          <t>Đã chốt</t>
        </is>
      </c>
      <c r="C8" s="8" t="inlineStr">
        <is>
          <t>Enum trạng thái</t>
        </is>
      </c>
      <c r="D8" s="8" t="inlineStr">
        <is>
          <t>UPPER_SNAKE_CASE thống nhất: Booking PENDING/CONFIRMED/COMPLETED/CANCELLED/EXPIRED; Payment PENDING/PAID/FAILED/REFUNDED/CANCELLED</t>
        </is>
      </c>
      <c r="E8" s="8" t="inlineStr">
        <is>
          <t>Mentor</t>
        </is>
      </c>
      <c r="F8" s="8" t="inlineStr">
        <is>
          <t>23/09/2026</t>
        </is>
      </c>
      <c r="G8" s="8" t="inlineStr">
        <is>
          <t>Đã chốt</t>
        </is>
      </c>
      <c r="H8" s="12" t="inlineStr">
        <is>
          <t>SRS intern dùng nhiều cách viết khác nhau · User duyệt mặc định 23/09/2026 ('code đi')</t>
        </is>
      </c>
    </row>
    <row r="9">
      <c r="A9" s="8" t="inlineStr">
        <is>
          <t>D6</t>
        </is>
      </c>
      <c r="B9" s="8" t="inlineStr">
        <is>
          <t>Đã chốt</t>
        </is>
      </c>
      <c r="C9" s="8" t="inlineStr">
        <is>
          <t>Hạn thanh toán</t>
        </is>
      </c>
      <c r="D9" s="8" t="inlineStr">
        <is>
          <t>15 phút kể từ khi tạo booking (system_settings), job 1 phút/lần huỷ và nhả chỗ</t>
        </is>
      </c>
      <c r="E9" s="8" t="inlineStr">
        <is>
          <t>Mentor</t>
        </is>
      </c>
      <c r="F9" s="8" t="inlineStr">
        <is>
          <t>23/09/2026</t>
        </is>
      </c>
      <c r="G9" s="8" t="inlineStr">
        <is>
          <t>Đã chốt</t>
        </is>
      </c>
      <c r="H9" s="12" t="inlineStr">
        <is>
          <t>SRS chỉ ghi 'thời gian quy định' · User duyệt mặc định 23/09/2026 ('code đi')</t>
        </is>
      </c>
    </row>
    <row r="10">
      <c r="A10" s="8" t="inlineStr">
        <is>
          <t>D7</t>
        </is>
      </c>
      <c r="B10" s="8" t="inlineStr">
        <is>
          <t>Đã chốt</t>
        </is>
      </c>
      <c r="C10" s="8" t="inlineStr">
        <is>
          <t>Chính sách huỷ</t>
        </is>
      </c>
      <c r="D10" s="8" t="inlineStr">
        <is>
          <t>≥ 7 ngày trước khởi hành hoàn 100% · 3–6 ngày hoàn 50% · &lt; 3 ngày không hoàn (system_settings)</t>
        </is>
      </c>
      <c r="E10" s="8" t="inlineStr">
        <is>
          <t>Mentor</t>
        </is>
      </c>
      <c r="F10" s="8" t="inlineStr">
        <is>
          <t>23/09/2026</t>
        </is>
      </c>
      <c r="G10" s="8" t="inlineStr">
        <is>
          <t>Đã chốt</t>
        </is>
      </c>
      <c r="H10" s="12" t="inlineStr">
        <is>
          <t>SRS 9.6 không có số · User duyệt mặc định 23/09/2026 ('code đi')</t>
        </is>
      </c>
    </row>
    <row r="11">
      <c r="A11" s="8" t="inlineStr">
        <is>
          <t>D8</t>
        </is>
      </c>
      <c r="B11" s="8" t="inlineStr">
        <is>
          <t>Đã chốt</t>
        </is>
      </c>
      <c r="C11" s="8" t="inlineStr">
        <is>
          <t>Giá và vé</t>
        </is>
      </c>
      <c r="D11" s="8" t="inlineStr">
        <is>
          <t>Giá theo đợt (mặc định lấy giá tour), vé trẻ em = 70% (cấu hình)</t>
        </is>
      </c>
      <c r="E11" s="8" t="inlineStr">
        <is>
          <t>Mentor</t>
        </is>
      </c>
      <c r="F11" s="8" t="inlineStr">
        <is>
          <t>23/09/2026</t>
        </is>
      </c>
      <c r="G11" s="8" t="inlineStr">
        <is>
          <t>Đã chốt</t>
        </is>
      </c>
      <c r="H11" s="12" t="inlineStr">
        <is>
          <t>DB có child_quantity · User duyệt mặc định 23/09/2026 ('code đi')</t>
        </is>
      </c>
    </row>
    <row r="13">
      <c r="A13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50" customWidth="1" min="4" max="4"/>
    <col width="30" customWidth="1" min="5" max="5"/>
  </cols>
  <sheetData>
    <row r="1">
      <c r="A1" s="5" t="inlineStr">
        <is>
          <t>Nhật ký thay đổi so với bản trước</t>
        </is>
      </c>
    </row>
    <row r="2">
      <c r="A2" s="6" t="inlineStr">
        <is>
          <t>Ghi lại vì sao phạm vi đổi</t>
        </is>
      </c>
    </row>
    <row r="3">
      <c r="A3" s="7" t="inlineStr">
        <is>
          <t>Mã</t>
        </is>
      </c>
      <c r="B3" s="7" t="inlineStr">
        <is>
          <t>Vị trí</t>
        </is>
      </c>
      <c r="C3" s="7" t="inlineStr">
        <is>
          <t>Ở bản trước</t>
        </is>
      </c>
      <c r="D3" s="7" t="inlineStr">
        <is>
          <t>Ở bản này</t>
        </is>
      </c>
      <c r="E3" s="7" t="inlineStr">
        <is>
          <t>Lý do</t>
        </is>
      </c>
    </row>
    <row r="4">
      <c r="A4" s="8" t="inlineStr">
        <is>
          <t>C1</t>
        </is>
      </c>
      <c r="B4" s="8" t="inlineStr">
        <is>
          <t>Toàn file</t>
        </is>
      </c>
      <c r="C4" s="8" t="inlineStr">
        <is>
          <t>—</t>
        </is>
      </c>
      <c r="D4" s="8" t="inlineStr">
        <is>
          <t>Bản đầu tiên v1 ngày 23/09/2026 sau khi đọc tài liệu intern và repo</t>
        </is>
      </c>
      <c r="E4" s="8" t="inlineStr">
        <is>
          <t>Khởi tạo</t>
        </is>
      </c>
    </row>
    <row r="5">
      <c r="A5" s="8" t="inlineStr">
        <is>
          <t>C2</t>
        </is>
      </c>
      <c r="B5" s="8" t="inlineStr">
        <is>
          <t>Quyết định</t>
        </is>
      </c>
      <c r="C5" s="8" t="inlineStr">
        <is>
          <t>D5–D9 ở trạng thái đề xuất</t>
        </is>
      </c>
      <c r="D5" s="8" t="inlineStr">
        <is>
          <t>Chốt theo đề xuất mặc định của mentor</t>
        </is>
      </c>
      <c r="E5" s="8" t="inlineStr">
        <is>
          <t>User duyệt Cổng 1 ngày 23/09/2026</t>
        </is>
      </c>
    </row>
    <row r="7">
      <c r="A7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2026-09-23T04:25:20Z</dcterms:created>
  <dcterms:modified xmlns:dcterms="http://purl.org/dc/terms/" xmlns:xsi="http://www.w3.org/2001/XMLSchema-instance" xsi:type="dcterms:W3CDTF">2026-09-23T04:25:21Z</dcterms:modified>
</cp:coreProperties>
</file>